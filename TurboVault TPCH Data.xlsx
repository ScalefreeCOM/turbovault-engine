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data" sheetId="1" r:id="rId4"/>
    <sheet state="visible" name="standard_hub" sheetId="2" r:id="rId5"/>
    <sheet state="visible" name="standard_link" sheetId="3" r:id="rId6"/>
    <sheet state="visible" name="standard_satellite" sheetId="4" r:id="rId7"/>
    <sheet state="visible" name="multiactive_satellite" sheetId="5" r:id="rId8"/>
    <sheet state="visible" name="non_historized_link" sheetId="6" r:id="rId9"/>
    <sheet state="visible" name="non_historized_satellite" sheetId="7" r:id="rId10"/>
    <sheet state="visible" name="ref_table" sheetId="8" r:id="rId11"/>
    <sheet state="visible" name="ref_hub" sheetId="9" r:id="rId12"/>
    <sheet state="visible" name="ref_sat" sheetId="10" r:id="rId13"/>
    <sheet state="visible" name="pit" sheetId="11" r:id="rId14"/>
  </sheets>
  <definedNames/>
  <calcPr/>
</workbook>
</file>

<file path=xl/sharedStrings.xml><?xml version="1.0" encoding="utf-8"?>
<sst xmlns="http://schemas.openxmlformats.org/spreadsheetml/2006/main" count="811" uniqueCount="254">
  <si>
    <t>Source_table_identifier</t>
  </si>
  <si>
    <t>Source_System</t>
  </si>
  <si>
    <t>Source_Object</t>
  </si>
  <si>
    <t>Source_Schema_Physical_Name</t>
  </si>
  <si>
    <t>Source_Table_Physical_Name</t>
  </si>
  <si>
    <t>Record_Source_Column</t>
  </si>
  <si>
    <t>Static_Part_of_Record_Source_Column</t>
  </si>
  <si>
    <t>Load_Date_Column</t>
  </si>
  <si>
    <t>Group_Name</t>
  </si>
  <si>
    <t>SRC0001</t>
  </si>
  <si>
    <t>TPCH</t>
  </si>
  <si>
    <t>Customer</t>
  </si>
  <si>
    <t>TPCH_SF1</t>
  </si>
  <si>
    <t>!Customer</t>
  </si>
  <si>
    <t>sysdate()</t>
  </si>
  <si>
    <t>sources</t>
  </si>
  <si>
    <t>SRC0002</t>
  </si>
  <si>
    <t>Orders</t>
  </si>
  <si>
    <t>!Orders</t>
  </si>
  <si>
    <t>SRC0003</t>
  </si>
  <si>
    <t>Part</t>
  </si>
  <si>
    <t>!Part</t>
  </si>
  <si>
    <t>SRC0004</t>
  </si>
  <si>
    <t>LineItem</t>
  </si>
  <si>
    <t>!LineItem</t>
  </si>
  <si>
    <t>SRC0005</t>
  </si>
  <si>
    <t>Supplier</t>
  </si>
  <si>
    <t>!Supplier</t>
  </si>
  <si>
    <t>SRC0006</t>
  </si>
  <si>
    <t>PartSupp</t>
  </si>
  <si>
    <t>!PartSupp</t>
  </si>
  <si>
    <t>SRC0007</t>
  </si>
  <si>
    <t>Nation</t>
  </si>
  <si>
    <t>!Nation</t>
  </si>
  <si>
    <t>SRC0008</t>
  </si>
  <si>
    <t>Region</t>
  </si>
  <si>
    <t>!Region</t>
  </si>
  <si>
    <t>Hub_Identifier</t>
  </si>
  <si>
    <t>Target_Hub_table_physical_name</t>
  </si>
  <si>
    <t>Source_Table_Identifier</t>
  </si>
  <si>
    <t>Source_Column_Physical_Name</t>
  </si>
  <si>
    <t>Business_Key_Physical_Name</t>
  </si>
  <si>
    <t>Target_Column_Sort_Order</t>
  </si>
  <si>
    <t>Target_Primary_Key_Physical_Name</t>
  </si>
  <si>
    <t>Record_Tracking_Satellite</t>
  </si>
  <si>
    <t>Is_Primary_Source</t>
  </si>
  <si>
    <r>
      <rPr>
        <rFont val="Consolas, &quot;Courier New&quot;, monospace"/>
        <color rgb="FFCCCCCC"/>
        <sz val="11.0"/>
      </rPr>
      <t>Target_Role_Primary_Key_Physical_Name</t>
    </r>
  </si>
  <si>
    <t>Notes</t>
  </si>
  <si>
    <t>H0001</t>
  </si>
  <si>
    <t>CUSTOMER_H</t>
  </si>
  <si>
    <t>C_CUSTKEY</t>
  </si>
  <si>
    <t>HK_CUSTOMER_H</t>
  </si>
  <si>
    <t>Customers</t>
  </si>
  <si>
    <t>hub with 1 bk and 2 sources</t>
  </si>
  <si>
    <t>SRC004</t>
  </si>
  <si>
    <t>C_CustomerKey</t>
  </si>
  <si>
    <t>H0002</t>
  </si>
  <si>
    <t>ORDERS_H</t>
  </si>
  <si>
    <t>O_ORDERKEY</t>
  </si>
  <si>
    <t>HK_ORDER_H</t>
  </si>
  <si>
    <t>H0003</t>
  </si>
  <si>
    <t>PART_H</t>
  </si>
  <si>
    <t>P_PARTKEY</t>
  </si>
  <si>
    <t>HK_PART_H</t>
  </si>
  <si>
    <t>Parts</t>
  </si>
  <si>
    <t>H0004</t>
  </si>
  <si>
    <t>SUPPLIER_H</t>
  </si>
  <si>
    <t>S_SUPPKEY</t>
  </si>
  <si>
    <t>HK_SUPPLIER_H</t>
  </si>
  <si>
    <t>Suppliers</t>
  </si>
  <si>
    <t>H0005</t>
  </si>
  <si>
    <t>NATION_REGION_H</t>
  </si>
  <si>
    <t>N_NATIONKEY</t>
  </si>
  <si>
    <t>NATIONKEY</t>
  </si>
  <si>
    <t>HK_NATION_REGION_H</t>
  </si>
  <si>
    <t>hub with 2 bks and 1 source</t>
  </si>
  <si>
    <t>N_REGIONKEY</t>
  </si>
  <si>
    <t>REGIONKEY</t>
  </si>
  <si>
    <t>H0006</t>
  </si>
  <si>
    <t>NATION_REGION_2_H</t>
  </si>
  <si>
    <t>hub with 2 bks and 2 sources</t>
  </si>
  <si>
    <t>R_REGIONKEY</t>
  </si>
  <si>
    <t>H0007</t>
  </si>
  <si>
    <t>REGION_H</t>
  </si>
  <si>
    <t>R_NAME</t>
  </si>
  <si>
    <t>REGION_NAME</t>
  </si>
  <si>
    <t>HK_REGION_H</t>
  </si>
  <si>
    <t>H0008</t>
  </si>
  <si>
    <t>NATION_H</t>
  </si>
  <si>
    <t>HK_NATION_H</t>
  </si>
  <si>
    <t>Link_Identifier</t>
  </si>
  <si>
    <t>Target_link_table_physical_name</t>
  </si>
  <si>
    <t>Source_column_physical_name</t>
  </si>
  <si>
    <t>Prejoin_Table_Identifier</t>
  </si>
  <si>
    <t>Prejoin_Table_Column_Name</t>
  </si>
  <si>
    <t>Prejoin_Extraction_Column_Name</t>
  </si>
  <si>
    <t>Prejoin_Target_Column_Alias</t>
  </si>
  <si>
    <t>Hub_identifier</t>
  </si>
  <si>
    <t>Hub_primary_key_physical_name</t>
  </si>
  <si>
    <t>Target_column_physical_name</t>
  </si>
  <si>
    <t>L0001</t>
  </si>
  <si>
    <t>ORDERS_CUSTOMERS_L</t>
  </si>
  <si>
    <t>HK_ORDERS_CUSTOMERS_L</t>
  </si>
  <si>
    <t>1 src, 2 hubs with 1 bk each</t>
  </si>
  <si>
    <t>O_CUSTKEY</t>
  </si>
  <si>
    <t>L0002</t>
  </si>
  <si>
    <t>PART_SUPPLIER_L</t>
  </si>
  <si>
    <t>PS_PARTKEY</t>
  </si>
  <si>
    <t>HK_PART_SUPPLIER_L</t>
  </si>
  <si>
    <t>PS_SUPPKEY</t>
  </si>
  <si>
    <t>L0003</t>
  </si>
  <si>
    <t>nation_test_link</t>
  </si>
  <si>
    <t>HK_nation_test_link_l</t>
  </si>
  <si>
    <t>1 src, 2 hubs, 1 bk, prejoin</t>
  </si>
  <si>
    <t>HK_NATION_RENAMED_H</t>
  </si>
  <si>
    <t>L0004</t>
  </si>
  <si>
    <t>nation_test_bkcc_link</t>
  </si>
  <si>
    <t>1 src, 2 hubs, prejoin and 2bk components</t>
  </si>
  <si>
    <t>Satellite_Identifier</t>
  </si>
  <si>
    <t>Target_Satellite_Table_Physical_Name</t>
  </si>
  <si>
    <t>Parent_Identifier</t>
  </si>
  <si>
    <t>Parent_Primary_Key_Physical_Name</t>
  </si>
  <si>
    <t>Target_Column_Physical_Name</t>
  </si>
  <si>
    <t>S0001</t>
  </si>
  <si>
    <t>CUSTOMER_N_S</t>
  </si>
  <si>
    <t>C_ACCTBAL</t>
  </si>
  <si>
    <t>C_MKTSEGMENT</t>
  </si>
  <si>
    <t>C_COMMENT</t>
  </si>
  <si>
    <t>S0002</t>
  </si>
  <si>
    <t>CUSTOMER_P_S</t>
  </si>
  <si>
    <t>C_NAME</t>
  </si>
  <si>
    <t>C_ADDRESS</t>
  </si>
  <si>
    <t>C_PHONE</t>
  </si>
  <si>
    <t>S0003</t>
  </si>
  <si>
    <t>ORDERS_N_S</t>
  </si>
  <si>
    <t>O_CLERK</t>
  </si>
  <si>
    <t>O_COMMENT</t>
  </si>
  <si>
    <t>O_ORDERDATE</t>
  </si>
  <si>
    <t>O_ORDERPRIORITY</t>
  </si>
  <si>
    <t>O_ORDERSTATUS</t>
  </si>
  <si>
    <t>O_SHIPPRIORITY</t>
  </si>
  <si>
    <t>O_TOTALPRICE</t>
  </si>
  <si>
    <t>S0004</t>
  </si>
  <si>
    <t>SUPPLIER_P_S</t>
  </si>
  <si>
    <t>S_ADDRESS</t>
  </si>
  <si>
    <t>S_NAME</t>
  </si>
  <si>
    <t>S0005</t>
  </si>
  <si>
    <t>SUPPLIER_N_S</t>
  </si>
  <si>
    <t>S_ACCTBAL</t>
  </si>
  <si>
    <t>S0006</t>
  </si>
  <si>
    <t>PART_SUPPLIER_N_S</t>
  </si>
  <si>
    <t>PS_AVAILQTY</t>
  </si>
  <si>
    <t>PS_COMMENT</t>
  </si>
  <si>
    <t>PS_SUPPLYCOST</t>
  </si>
  <si>
    <t>S0007</t>
  </si>
  <si>
    <t>PART_N_S</t>
  </si>
  <si>
    <t>P_BRAND</t>
  </si>
  <si>
    <t>P_COMMENT</t>
  </si>
  <si>
    <t>P_CONTAINER</t>
  </si>
  <si>
    <t>P_MFGR</t>
  </si>
  <si>
    <t>P_NAME</t>
  </si>
  <si>
    <t>P_RETAILPRICE</t>
  </si>
  <si>
    <t>P_SIZE</t>
  </si>
  <si>
    <t>MA_Satellite_Identifier</t>
  </si>
  <si>
    <t>Parent_identifier</t>
  </si>
  <si>
    <t>Parent_primary_key_physical_name</t>
  </si>
  <si>
    <t>Multi_Active_Attributes</t>
  </si>
  <si>
    <t>note</t>
  </si>
  <si>
    <t>MAS0001</t>
  </si>
  <si>
    <t>customer_n_ms</t>
  </si>
  <si>
    <t>C_name</t>
  </si>
  <si>
    <t>address_type</t>
  </si>
  <si>
    <t>customer_name</t>
  </si>
  <si>
    <t>renamed column</t>
  </si>
  <si>
    <t>c_nationkey</t>
  </si>
  <si>
    <t>c_phone</t>
  </si>
  <si>
    <t>no target column name</t>
  </si>
  <si>
    <t>MAS0002</t>
  </si>
  <si>
    <t>part_n_ms</t>
  </si>
  <si>
    <t>discount_amount</t>
  </si>
  <si>
    <t>discount_level;discount_country</t>
  </si>
  <si>
    <t>multiple ma attributes</t>
  </si>
  <si>
    <t>discount_minimum_basket_price</t>
  </si>
  <si>
    <t>NH_Link_Identifier</t>
  </si>
  <si>
    <t>NH0001</t>
  </si>
  <si>
    <t>LINEITEM_NL</t>
  </si>
  <si>
    <t>L_PARTKEY</t>
  </si>
  <si>
    <t>HK_LINEITEM_NL</t>
  </si>
  <si>
    <t>L_ORDERKEY</t>
  </si>
  <si>
    <t>L_SUPPKEY</t>
  </si>
  <si>
    <t>L_LINENUMBER</t>
  </si>
  <si>
    <t>L_QUANTITY</t>
  </si>
  <si>
    <t>L_EXTENDEDPRICE</t>
  </si>
  <si>
    <t>L_DISCOUNT</t>
  </si>
  <si>
    <t>L_TAX</t>
  </si>
  <si>
    <t>L_RETURNFLAG</t>
  </si>
  <si>
    <t>L_LINESTATUS</t>
  </si>
  <si>
    <t>L_SHIPDATE</t>
  </si>
  <si>
    <t>L_COMMITDATE</t>
  </si>
  <si>
    <t>L_RECEIPTDATE</t>
  </si>
  <si>
    <t>L_SHIPINSTRUCT</t>
  </si>
  <si>
    <t>L_SHIPMODE</t>
  </si>
  <si>
    <t>L_COMMENT</t>
  </si>
  <si>
    <t>NH_Satellite_Identifier</t>
  </si>
  <si>
    <t>NHS0001</t>
  </si>
  <si>
    <t>lineitem_nhs</t>
  </si>
  <si>
    <t>l_comment</t>
  </si>
  <si>
    <t>Lineitem</t>
  </si>
  <si>
    <t>l_shipisntruct</t>
  </si>
  <si>
    <t>l_shipmode</t>
  </si>
  <si>
    <t>Reference_Table_Identifier</t>
  </si>
  <si>
    <t>Target_Reference_table_physical_name</t>
  </si>
  <si>
    <t>Referenced_Hub</t>
  </si>
  <si>
    <t>Referenced_Satellite</t>
  </si>
  <si>
    <t>Included_Columns</t>
  </si>
  <si>
    <t>Excluded_Columns</t>
  </si>
  <si>
    <t>Historized</t>
  </si>
  <si>
    <t>RT001</t>
  </si>
  <si>
    <t>nation</t>
  </si>
  <si>
    <t>RH0001</t>
  </si>
  <si>
    <t>RS001</t>
  </si>
  <si>
    <t>n_nationkey,r_regionkey</t>
  </si>
  <si>
    <t>latest</t>
  </si>
  <si>
    <t>RS002</t>
  </si>
  <si>
    <t>Reference_Hub_Identifier</t>
  </si>
  <si>
    <t>Note</t>
  </si>
  <si>
    <t>nation_rh</t>
  </si>
  <si>
    <t>n_nationkey</t>
  </si>
  <si>
    <t>1 src, 1 refkey</t>
  </si>
  <si>
    <t>RH0002</t>
  </si>
  <si>
    <t>region_rh</t>
  </si>
  <si>
    <t>r_regionkey</t>
  </si>
  <si>
    <t>1 src, 2 refkeys</t>
  </si>
  <si>
    <t>r_name</t>
  </si>
  <si>
    <t>Reference_Satellite_Identifier</t>
  </si>
  <si>
    <t>Parent_Table_Identifier</t>
  </si>
  <si>
    <t>nation_rs</t>
  </si>
  <si>
    <t>n_comment</t>
  </si>
  <si>
    <t>n_name</t>
  </si>
  <si>
    <t>n_regionkey</t>
  </si>
  <si>
    <t>nation_2nd_rs</t>
  </si>
  <si>
    <t>Pit_Identifier</t>
  </si>
  <si>
    <t>Pit_Physical_Table_Name</t>
  </si>
  <si>
    <t>Tracked_Entity</t>
  </si>
  <si>
    <t>Satellite_Identifiers</t>
  </si>
  <si>
    <t>Snapshot_Model_Name</t>
  </si>
  <si>
    <t>Snapshot_Trigger_Column</t>
  </si>
  <si>
    <t>Dimension_Key_Name</t>
  </si>
  <si>
    <t>P0001</t>
  </si>
  <si>
    <t>CUSTOMER_BP</t>
  </si>
  <si>
    <t>S0001, S0002</t>
  </si>
  <si>
    <t>Control_Snap_v1</t>
  </si>
  <si>
    <t>IS_ACTIVE</t>
  </si>
  <si>
    <t>HK_CUSTOMER_D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</si>
</sst>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FF000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FF0000"/>
      <name val="Arial"/>
    </font>
    <font>
      <sz val="10.0"/>
      <color rgb="FF000000"/>
      <name val="Arial"/>
    </font>
    <font>
      <b/>
      <i/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2" fontId="4" numFmtId="0" xfId="0" applyBorder="1" applyFont="1"/>
    <xf borderId="0" fillId="0" fontId="3" numFmtId="0" xfId="0" applyFont="1"/>
    <xf borderId="0" fillId="0" fontId="3" numFmtId="0" xfId="0" applyAlignment="1" applyFont="1">
      <alignment horizontal="left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1" fillId="2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0" xfId="0" applyFont="1"/>
    <xf borderId="1" fillId="2" fontId="4" numFmtId="0" xfId="0" applyAlignment="1" applyBorder="1" applyFont="1">
      <alignment readingOrder="0"/>
    </xf>
    <xf borderId="1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2.75"/>
    <col customWidth="1" min="3" max="3" width="12.0"/>
    <col customWidth="1" min="4" max="4" width="25.88"/>
    <col customWidth="1" min="5" max="5" width="23.75"/>
    <col customWidth="1" min="6" max="6" width="19.25"/>
    <col customWidth="1" min="7" max="7" width="30.63"/>
    <col customWidth="1" min="8" max="8" width="15.88"/>
    <col customWidth="1" min="9" max="26" width="11.0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2" t="s">
        <v>11</v>
      </c>
      <c r="D2" s="3" t="s">
        <v>12</v>
      </c>
      <c r="E2" s="2" t="s">
        <v>11</v>
      </c>
      <c r="F2" s="2" t="s">
        <v>13</v>
      </c>
      <c r="G2" s="4" t="s">
        <v>11</v>
      </c>
      <c r="H2" s="5" t="s">
        <v>14</v>
      </c>
      <c r="I2" s="4" t="s">
        <v>15</v>
      </c>
    </row>
    <row r="3" ht="15.75" customHeight="1">
      <c r="A3" s="2" t="s">
        <v>16</v>
      </c>
      <c r="B3" s="2" t="s">
        <v>10</v>
      </c>
      <c r="C3" s="2" t="s">
        <v>17</v>
      </c>
      <c r="D3" s="3" t="s">
        <v>12</v>
      </c>
      <c r="E3" s="2" t="s">
        <v>17</v>
      </c>
      <c r="F3" s="2" t="s">
        <v>18</v>
      </c>
      <c r="G3" s="4" t="s">
        <v>17</v>
      </c>
      <c r="H3" s="5" t="s">
        <v>14</v>
      </c>
      <c r="I3" s="4" t="s">
        <v>15</v>
      </c>
    </row>
    <row r="4" ht="15.75" customHeight="1">
      <c r="A4" s="2" t="s">
        <v>19</v>
      </c>
      <c r="B4" s="2" t="s">
        <v>10</v>
      </c>
      <c r="C4" s="2" t="s">
        <v>20</v>
      </c>
      <c r="D4" s="3" t="s">
        <v>12</v>
      </c>
      <c r="E4" s="2" t="s">
        <v>20</v>
      </c>
      <c r="F4" s="2" t="s">
        <v>21</v>
      </c>
      <c r="G4" s="4" t="s">
        <v>20</v>
      </c>
      <c r="H4" s="5" t="s">
        <v>14</v>
      </c>
      <c r="I4" s="4" t="s">
        <v>15</v>
      </c>
    </row>
    <row r="5" ht="15.75" customHeight="1">
      <c r="A5" s="3" t="s">
        <v>22</v>
      </c>
      <c r="B5" s="3" t="s">
        <v>10</v>
      </c>
      <c r="C5" s="3" t="s">
        <v>23</v>
      </c>
      <c r="D5" s="3" t="s">
        <v>12</v>
      </c>
      <c r="E5" s="3" t="s">
        <v>23</v>
      </c>
      <c r="F5" s="5" t="s">
        <v>24</v>
      </c>
      <c r="G5" s="5" t="s">
        <v>23</v>
      </c>
      <c r="H5" s="5" t="s">
        <v>14</v>
      </c>
      <c r="I5" s="6" t="s">
        <v>15</v>
      </c>
    </row>
    <row r="6" ht="15.75" customHeight="1">
      <c r="A6" s="3" t="s">
        <v>25</v>
      </c>
      <c r="B6" s="3" t="s">
        <v>10</v>
      </c>
      <c r="C6" s="3" t="s">
        <v>26</v>
      </c>
      <c r="D6" s="3" t="s">
        <v>12</v>
      </c>
      <c r="E6" s="3" t="s">
        <v>26</v>
      </c>
      <c r="F6" s="5" t="s">
        <v>27</v>
      </c>
      <c r="G6" s="3" t="s">
        <v>26</v>
      </c>
      <c r="H6" s="5" t="s">
        <v>14</v>
      </c>
      <c r="I6" s="6" t="s">
        <v>15</v>
      </c>
    </row>
    <row r="7" ht="15.75" customHeight="1">
      <c r="A7" s="6" t="s">
        <v>28</v>
      </c>
      <c r="B7" s="6" t="s">
        <v>10</v>
      </c>
      <c r="C7" s="6" t="s">
        <v>29</v>
      </c>
      <c r="D7" s="3" t="s">
        <v>12</v>
      </c>
      <c r="E7" s="6" t="s">
        <v>29</v>
      </c>
      <c r="F7" s="6" t="s">
        <v>30</v>
      </c>
      <c r="G7" s="6" t="s">
        <v>29</v>
      </c>
      <c r="H7" s="6" t="s">
        <v>14</v>
      </c>
      <c r="I7" s="6" t="s">
        <v>15</v>
      </c>
    </row>
    <row r="8" ht="15.75" customHeight="1">
      <c r="A8" s="6" t="s">
        <v>31</v>
      </c>
      <c r="B8" s="6" t="s">
        <v>10</v>
      </c>
      <c r="C8" s="6" t="s">
        <v>32</v>
      </c>
      <c r="D8" s="3" t="s">
        <v>12</v>
      </c>
      <c r="E8" s="6" t="s">
        <v>32</v>
      </c>
      <c r="F8" s="6" t="s">
        <v>33</v>
      </c>
      <c r="G8" s="6" t="s">
        <v>32</v>
      </c>
      <c r="H8" s="6" t="s">
        <v>14</v>
      </c>
      <c r="I8" s="6" t="s">
        <v>15</v>
      </c>
    </row>
    <row r="9" ht="15.75" customHeight="1">
      <c r="A9" s="6" t="s">
        <v>34</v>
      </c>
      <c r="B9" s="6" t="s">
        <v>10</v>
      </c>
      <c r="C9" s="6" t="s">
        <v>35</v>
      </c>
      <c r="D9" s="3" t="s">
        <v>12</v>
      </c>
      <c r="E9" s="6" t="s">
        <v>35</v>
      </c>
      <c r="F9" s="6" t="s">
        <v>36</v>
      </c>
      <c r="G9" s="6" t="s">
        <v>35</v>
      </c>
      <c r="H9" s="6" t="s">
        <v>14</v>
      </c>
      <c r="I9" s="6" t="s">
        <v>15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8.13"/>
    <col customWidth="1" min="3" max="3" width="20.13"/>
    <col customWidth="1" min="4" max="4" width="26.88"/>
    <col customWidth="1" min="5" max="5" width="25.0"/>
    <col customWidth="1" min="6" max="6" width="22.75"/>
    <col customWidth="1" min="7" max="7" width="30.5"/>
    <col customWidth="1" min="8" max="8" width="22.0"/>
    <col customWidth="1" min="9" max="9" width="15.88"/>
    <col customWidth="1" min="10" max="10" width="11.25"/>
    <col customWidth="1" min="11" max="26" width="11.0"/>
  </cols>
  <sheetData>
    <row r="1" ht="49.5" customHeight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8</v>
      </c>
      <c r="K1" s="6" t="s">
        <v>46</v>
      </c>
      <c r="L1" s="6" t="s">
        <v>47</v>
      </c>
    </row>
    <row r="2" ht="15.75" customHeight="1">
      <c r="A2" s="2" t="s">
        <v>48</v>
      </c>
      <c r="B2" s="2" t="s">
        <v>49</v>
      </c>
      <c r="C2" s="2" t="s">
        <v>9</v>
      </c>
      <c r="D2" s="2" t="s">
        <v>50</v>
      </c>
      <c r="E2" s="2" t="s">
        <v>50</v>
      </c>
      <c r="F2" s="2">
        <v>1.0</v>
      </c>
      <c r="G2" s="2" t="s">
        <v>51</v>
      </c>
      <c r="H2" s="8">
        <v>1.0</v>
      </c>
      <c r="I2" s="8">
        <v>1.0</v>
      </c>
      <c r="J2" s="5" t="s">
        <v>52</v>
      </c>
      <c r="L2" s="6" t="s">
        <v>53</v>
      </c>
    </row>
    <row r="3" ht="15.75" customHeight="1">
      <c r="A3" s="2" t="s">
        <v>48</v>
      </c>
      <c r="B3" s="3" t="s">
        <v>49</v>
      </c>
      <c r="C3" s="3" t="s">
        <v>54</v>
      </c>
      <c r="D3" s="3" t="s">
        <v>55</v>
      </c>
      <c r="E3" s="3" t="s">
        <v>50</v>
      </c>
      <c r="F3" s="3">
        <v>1.0</v>
      </c>
      <c r="G3" s="2" t="s">
        <v>51</v>
      </c>
      <c r="H3" s="6">
        <v>1.0</v>
      </c>
      <c r="I3" s="6">
        <v>0.0</v>
      </c>
      <c r="J3" s="5" t="s">
        <v>52</v>
      </c>
      <c r="K3" s="9"/>
      <c r="L3" s="6" t="s">
        <v>53</v>
      </c>
    </row>
    <row r="4" ht="15.75" customHeight="1">
      <c r="A4" s="3" t="s">
        <v>56</v>
      </c>
      <c r="B4" s="3" t="s">
        <v>57</v>
      </c>
      <c r="C4" s="3" t="s">
        <v>16</v>
      </c>
      <c r="D4" s="3" t="s">
        <v>58</v>
      </c>
      <c r="E4" s="3" t="s">
        <v>58</v>
      </c>
      <c r="F4" s="3">
        <v>1.0</v>
      </c>
      <c r="G4" s="3" t="s">
        <v>59</v>
      </c>
      <c r="H4" s="6">
        <v>0.0</v>
      </c>
      <c r="I4" s="6">
        <v>1.0</v>
      </c>
      <c r="J4" s="5" t="s">
        <v>17</v>
      </c>
      <c r="K4" s="9"/>
    </row>
    <row r="5" ht="15.75" customHeight="1">
      <c r="A5" s="3" t="s">
        <v>60</v>
      </c>
      <c r="B5" s="3" t="s">
        <v>61</v>
      </c>
      <c r="C5" s="3" t="s">
        <v>19</v>
      </c>
      <c r="D5" s="3" t="s">
        <v>62</v>
      </c>
      <c r="E5" s="3" t="s">
        <v>62</v>
      </c>
      <c r="F5" s="3">
        <v>1.0</v>
      </c>
      <c r="G5" s="3" t="s">
        <v>63</v>
      </c>
      <c r="H5" s="6">
        <v>0.0</v>
      </c>
      <c r="I5" s="6">
        <v>1.0</v>
      </c>
      <c r="J5" s="5" t="s">
        <v>64</v>
      </c>
      <c r="K5" s="9"/>
    </row>
    <row r="6" ht="15.75" customHeight="1">
      <c r="A6" s="3" t="s">
        <v>65</v>
      </c>
      <c r="B6" s="3" t="s">
        <v>66</v>
      </c>
      <c r="C6" s="3" t="s">
        <v>25</v>
      </c>
      <c r="D6" s="3" t="s">
        <v>67</v>
      </c>
      <c r="E6" s="3" t="s">
        <v>67</v>
      </c>
      <c r="F6" s="3">
        <v>1.0</v>
      </c>
      <c r="G6" s="3" t="s">
        <v>68</v>
      </c>
      <c r="H6" s="6">
        <v>0.0</v>
      </c>
      <c r="I6" s="6">
        <v>1.0</v>
      </c>
      <c r="J6" s="5" t="s">
        <v>69</v>
      </c>
    </row>
    <row r="7" ht="15.75" customHeight="1">
      <c r="A7" s="6" t="s">
        <v>70</v>
      </c>
      <c r="B7" s="6" t="s">
        <v>71</v>
      </c>
      <c r="C7" s="6" t="s">
        <v>31</v>
      </c>
      <c r="D7" s="6" t="s">
        <v>72</v>
      </c>
      <c r="E7" s="6" t="s">
        <v>73</v>
      </c>
      <c r="F7" s="6">
        <v>1.0</v>
      </c>
      <c r="G7" s="6" t="s">
        <v>74</v>
      </c>
      <c r="H7" s="6">
        <v>0.0</v>
      </c>
      <c r="I7" s="6">
        <v>1.0</v>
      </c>
      <c r="J7" s="6" t="s">
        <v>32</v>
      </c>
      <c r="L7" s="6" t="s">
        <v>75</v>
      </c>
    </row>
    <row r="8" ht="15.75" customHeight="1">
      <c r="A8" s="6" t="s">
        <v>70</v>
      </c>
      <c r="B8" s="6" t="s">
        <v>71</v>
      </c>
      <c r="C8" s="6" t="s">
        <v>31</v>
      </c>
      <c r="D8" s="6" t="s">
        <v>76</v>
      </c>
      <c r="E8" s="6" t="s">
        <v>77</v>
      </c>
      <c r="F8" s="6">
        <v>2.0</v>
      </c>
      <c r="G8" s="6" t="s">
        <v>74</v>
      </c>
      <c r="H8" s="6">
        <v>0.0</v>
      </c>
      <c r="I8" s="6">
        <v>1.0</v>
      </c>
      <c r="J8" s="6" t="s">
        <v>32</v>
      </c>
      <c r="L8" s="6" t="s">
        <v>75</v>
      </c>
    </row>
    <row r="9" ht="15.75" customHeight="1">
      <c r="A9" s="6" t="s">
        <v>78</v>
      </c>
      <c r="B9" s="6" t="s">
        <v>79</v>
      </c>
      <c r="C9" s="6" t="s">
        <v>31</v>
      </c>
      <c r="D9" s="6" t="s">
        <v>72</v>
      </c>
      <c r="E9" s="6" t="s">
        <v>73</v>
      </c>
      <c r="F9" s="6">
        <v>1.0</v>
      </c>
      <c r="G9" s="6" t="s">
        <v>74</v>
      </c>
      <c r="H9" s="6">
        <v>0.0</v>
      </c>
      <c r="I9" s="6">
        <v>1.0</v>
      </c>
      <c r="J9" s="6" t="s">
        <v>32</v>
      </c>
      <c r="L9" s="6" t="s">
        <v>80</v>
      </c>
    </row>
    <row r="10" ht="15.75" customHeight="1">
      <c r="A10" s="6" t="s">
        <v>78</v>
      </c>
      <c r="B10" s="6" t="s">
        <v>79</v>
      </c>
      <c r="C10" s="6" t="s">
        <v>31</v>
      </c>
      <c r="D10" s="6" t="s">
        <v>76</v>
      </c>
      <c r="E10" s="6" t="s">
        <v>77</v>
      </c>
      <c r="F10" s="6">
        <v>2.0</v>
      </c>
      <c r="G10" s="6" t="s">
        <v>74</v>
      </c>
      <c r="H10" s="6">
        <v>0.0</v>
      </c>
      <c r="I10" s="6">
        <v>1.0</v>
      </c>
      <c r="J10" s="6" t="s">
        <v>32</v>
      </c>
      <c r="L10" s="6" t="s">
        <v>80</v>
      </c>
    </row>
    <row r="11" ht="15.75" customHeight="1">
      <c r="A11" s="6" t="s">
        <v>78</v>
      </c>
      <c r="B11" s="6" t="s">
        <v>79</v>
      </c>
      <c r="C11" s="6" t="s">
        <v>34</v>
      </c>
      <c r="D11" s="6" t="s">
        <v>81</v>
      </c>
      <c r="E11" s="6" t="s">
        <v>73</v>
      </c>
      <c r="F11" s="6">
        <v>1.0</v>
      </c>
      <c r="G11" s="6" t="s">
        <v>74</v>
      </c>
      <c r="H11" s="6">
        <v>0.0</v>
      </c>
      <c r="I11" s="6">
        <v>0.0</v>
      </c>
      <c r="J11" s="6" t="s">
        <v>32</v>
      </c>
      <c r="L11" s="6" t="s">
        <v>80</v>
      </c>
    </row>
    <row r="12" ht="15.75" customHeight="1">
      <c r="A12" s="6" t="s">
        <v>78</v>
      </c>
      <c r="B12" s="6" t="s">
        <v>79</v>
      </c>
      <c r="C12" s="6" t="s">
        <v>34</v>
      </c>
      <c r="D12" s="6" t="s">
        <v>81</v>
      </c>
      <c r="E12" s="6" t="s">
        <v>77</v>
      </c>
      <c r="F12" s="6">
        <v>2.0</v>
      </c>
      <c r="G12" s="6" t="s">
        <v>74</v>
      </c>
      <c r="H12" s="6">
        <v>0.0</v>
      </c>
      <c r="I12" s="6">
        <v>0.0</v>
      </c>
      <c r="J12" s="6" t="s">
        <v>32</v>
      </c>
      <c r="L12" s="6" t="s">
        <v>80</v>
      </c>
    </row>
    <row r="13" ht="15.75" customHeight="1">
      <c r="A13" s="6" t="s">
        <v>82</v>
      </c>
      <c r="B13" s="6" t="s">
        <v>83</v>
      </c>
      <c r="C13" s="6" t="s">
        <v>34</v>
      </c>
      <c r="D13" s="6" t="s">
        <v>84</v>
      </c>
      <c r="E13" s="6" t="s">
        <v>85</v>
      </c>
      <c r="F13" s="6">
        <v>1.0</v>
      </c>
      <c r="G13" s="6" t="s">
        <v>86</v>
      </c>
      <c r="H13" s="6">
        <v>0.0</v>
      </c>
      <c r="I13" s="6">
        <v>1.0</v>
      </c>
      <c r="J13" s="6" t="s">
        <v>35</v>
      </c>
    </row>
    <row r="14" ht="15.75" customHeight="1">
      <c r="A14" s="6" t="s">
        <v>87</v>
      </c>
      <c r="B14" s="6" t="s">
        <v>88</v>
      </c>
      <c r="C14" s="6" t="s">
        <v>31</v>
      </c>
      <c r="D14" s="6" t="s">
        <v>72</v>
      </c>
      <c r="E14" s="6" t="s">
        <v>72</v>
      </c>
      <c r="F14" s="6">
        <v>1.0</v>
      </c>
      <c r="G14" s="6" t="s">
        <v>89</v>
      </c>
      <c r="H14" s="6">
        <v>0.0</v>
      </c>
      <c r="I14" s="6">
        <v>1.0</v>
      </c>
      <c r="J14" s="6" t="s">
        <v>32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7.5"/>
    <col customWidth="1" min="3" max="3" width="19.75"/>
    <col customWidth="1" min="4" max="4" width="26.38"/>
    <col customWidth="1" min="5" max="5" width="19.75"/>
    <col customWidth="1" min="6" max="6" width="24.38"/>
    <col customWidth="1" min="7" max="7" width="28.38"/>
    <col customWidth="1" min="8" max="8" width="24.63"/>
    <col customWidth="1" min="9" max="9" width="12.25"/>
    <col customWidth="1" min="10" max="10" width="27.88"/>
    <col customWidth="1" min="11" max="11" width="25.75"/>
    <col customWidth="1" min="12" max="12" width="23.88"/>
    <col customWidth="1" min="13" max="13" width="30.25"/>
    <col customWidth="1" min="14" max="14" width="21.88"/>
    <col customWidth="1" min="15" max="15" width="11.5"/>
    <col customWidth="1" min="16" max="26" width="11.0"/>
  </cols>
  <sheetData>
    <row r="1" ht="48.0" customHeight="1">
      <c r="A1" s="10" t="s">
        <v>90</v>
      </c>
      <c r="B1" s="10" t="s">
        <v>91</v>
      </c>
      <c r="C1" s="10" t="s">
        <v>39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1" t="s">
        <v>97</v>
      </c>
      <c r="J1" s="10" t="s">
        <v>98</v>
      </c>
      <c r="K1" s="10" t="s">
        <v>99</v>
      </c>
      <c r="L1" s="10" t="s">
        <v>42</v>
      </c>
      <c r="M1" s="10" t="s">
        <v>43</v>
      </c>
      <c r="N1" s="7" t="s">
        <v>44</v>
      </c>
      <c r="O1" s="7" t="s">
        <v>8</v>
      </c>
      <c r="P1" s="6" t="s">
        <v>47</v>
      </c>
    </row>
    <row r="2" ht="15.75" customHeight="1">
      <c r="A2" s="3" t="s">
        <v>100</v>
      </c>
      <c r="B2" s="3" t="s">
        <v>101</v>
      </c>
      <c r="C2" s="3" t="s">
        <v>16</v>
      </c>
      <c r="D2" s="3" t="s">
        <v>58</v>
      </c>
      <c r="I2" s="3" t="s">
        <v>56</v>
      </c>
      <c r="J2" s="3" t="s">
        <v>59</v>
      </c>
      <c r="K2" s="3" t="s">
        <v>59</v>
      </c>
      <c r="L2" s="3">
        <v>1.0</v>
      </c>
      <c r="M2" s="3" t="s">
        <v>102</v>
      </c>
      <c r="N2" s="6">
        <v>0.0</v>
      </c>
      <c r="O2" s="6" t="s">
        <v>17</v>
      </c>
      <c r="P2" s="6" t="s">
        <v>103</v>
      </c>
    </row>
    <row r="3" ht="15.75" customHeight="1">
      <c r="A3" s="3" t="s">
        <v>100</v>
      </c>
      <c r="B3" s="3" t="s">
        <v>101</v>
      </c>
      <c r="C3" s="3" t="s">
        <v>16</v>
      </c>
      <c r="D3" s="3" t="s">
        <v>104</v>
      </c>
      <c r="I3" s="3" t="s">
        <v>48</v>
      </c>
      <c r="J3" s="3" t="s">
        <v>51</v>
      </c>
      <c r="K3" s="3" t="s">
        <v>51</v>
      </c>
      <c r="L3" s="3">
        <v>2.0</v>
      </c>
      <c r="M3" s="3" t="s">
        <v>102</v>
      </c>
      <c r="N3" s="6">
        <v>0.0</v>
      </c>
      <c r="O3" s="6" t="s">
        <v>17</v>
      </c>
      <c r="P3" s="6" t="s">
        <v>103</v>
      </c>
    </row>
    <row r="4" ht="15.75" customHeight="1">
      <c r="A4" s="3" t="s">
        <v>105</v>
      </c>
      <c r="B4" s="3" t="s">
        <v>106</v>
      </c>
      <c r="C4" s="6" t="s">
        <v>28</v>
      </c>
      <c r="D4" s="3" t="s">
        <v>107</v>
      </c>
      <c r="I4" s="3" t="s">
        <v>60</v>
      </c>
      <c r="J4" s="3" t="s">
        <v>63</v>
      </c>
      <c r="K4" s="3" t="s">
        <v>63</v>
      </c>
      <c r="L4" s="3">
        <v>1.0</v>
      </c>
      <c r="M4" s="3" t="s">
        <v>108</v>
      </c>
      <c r="N4" s="6">
        <v>0.0</v>
      </c>
      <c r="O4" s="6" t="s">
        <v>64</v>
      </c>
      <c r="P4" s="6" t="s">
        <v>103</v>
      </c>
    </row>
    <row r="5" ht="15.75" customHeight="1">
      <c r="A5" s="3" t="s">
        <v>105</v>
      </c>
      <c r="B5" s="3" t="s">
        <v>106</v>
      </c>
      <c r="C5" s="3" t="s">
        <v>28</v>
      </c>
      <c r="D5" s="3" t="s">
        <v>109</v>
      </c>
      <c r="I5" s="3" t="s">
        <v>65</v>
      </c>
      <c r="J5" s="3" t="s">
        <v>68</v>
      </c>
      <c r="K5" s="3" t="s">
        <v>68</v>
      </c>
      <c r="L5" s="3">
        <v>2.0</v>
      </c>
      <c r="M5" s="3" t="s">
        <v>108</v>
      </c>
      <c r="N5" s="6">
        <v>0.0</v>
      </c>
      <c r="O5" s="6" t="s">
        <v>64</v>
      </c>
      <c r="P5" s="6" t="s">
        <v>103</v>
      </c>
    </row>
    <row r="6" ht="15.75" customHeight="1">
      <c r="A6" s="6" t="s">
        <v>110</v>
      </c>
      <c r="B6" s="6" t="s">
        <v>111</v>
      </c>
      <c r="C6" s="6" t="s">
        <v>31</v>
      </c>
      <c r="D6" s="6" t="s">
        <v>76</v>
      </c>
      <c r="E6" s="6" t="s">
        <v>34</v>
      </c>
      <c r="F6" s="6" t="s">
        <v>81</v>
      </c>
      <c r="G6" s="6" t="s">
        <v>84</v>
      </c>
      <c r="H6" s="6" t="s">
        <v>85</v>
      </c>
      <c r="I6" s="6" t="s">
        <v>82</v>
      </c>
      <c r="J6" s="6" t="s">
        <v>86</v>
      </c>
      <c r="K6" s="6" t="s">
        <v>86</v>
      </c>
      <c r="L6" s="6">
        <v>1.0</v>
      </c>
      <c r="M6" s="6" t="s">
        <v>112</v>
      </c>
      <c r="N6" s="6">
        <v>0.0</v>
      </c>
      <c r="O6" s="6" t="s">
        <v>35</v>
      </c>
      <c r="P6" s="6" t="s">
        <v>113</v>
      </c>
    </row>
    <row r="7" ht="15.75" customHeight="1">
      <c r="A7" s="6" t="s">
        <v>110</v>
      </c>
      <c r="B7" s="6" t="s">
        <v>111</v>
      </c>
      <c r="C7" s="6" t="s">
        <v>31</v>
      </c>
      <c r="D7" s="6" t="s">
        <v>72</v>
      </c>
      <c r="I7" s="6" t="s">
        <v>87</v>
      </c>
      <c r="J7" s="6" t="s">
        <v>89</v>
      </c>
      <c r="K7" s="6" t="s">
        <v>114</v>
      </c>
      <c r="L7" s="6">
        <v>2.0</v>
      </c>
      <c r="M7" s="6" t="s">
        <v>112</v>
      </c>
      <c r="N7" s="6">
        <v>0.0</v>
      </c>
      <c r="O7" s="6" t="s">
        <v>35</v>
      </c>
      <c r="P7" s="6" t="s">
        <v>113</v>
      </c>
    </row>
    <row r="8" ht="15.75" customHeight="1">
      <c r="A8" s="6" t="s">
        <v>115</v>
      </c>
      <c r="B8" s="6" t="s">
        <v>116</v>
      </c>
      <c r="C8" s="6" t="s">
        <v>31</v>
      </c>
      <c r="D8" s="6" t="s">
        <v>76</v>
      </c>
      <c r="E8" s="6" t="s">
        <v>34</v>
      </c>
      <c r="F8" s="6" t="s">
        <v>81</v>
      </c>
      <c r="G8" s="6" t="s">
        <v>84</v>
      </c>
      <c r="H8" s="6" t="s">
        <v>85</v>
      </c>
      <c r="I8" s="6" t="s">
        <v>82</v>
      </c>
      <c r="J8" s="6" t="s">
        <v>86</v>
      </c>
      <c r="K8" s="6" t="s">
        <v>86</v>
      </c>
      <c r="L8" s="6">
        <v>1.0</v>
      </c>
      <c r="M8" s="6" t="s">
        <v>112</v>
      </c>
      <c r="N8" s="6">
        <v>0.0</v>
      </c>
      <c r="O8" s="6" t="s">
        <v>35</v>
      </c>
      <c r="P8" s="6" t="s">
        <v>113</v>
      </c>
    </row>
    <row r="9" ht="15.75" customHeight="1">
      <c r="A9" s="6" t="s">
        <v>115</v>
      </c>
      <c r="B9" s="6" t="s">
        <v>116</v>
      </c>
      <c r="C9" s="6" t="s">
        <v>31</v>
      </c>
      <c r="D9" s="6" t="s">
        <v>72</v>
      </c>
      <c r="I9" s="6" t="s">
        <v>70</v>
      </c>
      <c r="J9" s="6" t="s">
        <v>74</v>
      </c>
      <c r="K9" s="6" t="s">
        <v>74</v>
      </c>
      <c r="L9" s="6">
        <v>2.0</v>
      </c>
      <c r="M9" s="6" t="s">
        <v>112</v>
      </c>
      <c r="N9" s="6">
        <v>0.0</v>
      </c>
      <c r="O9" s="6" t="s">
        <v>35</v>
      </c>
      <c r="P9" s="6" t="s">
        <v>113</v>
      </c>
    </row>
    <row r="10" ht="15.75" customHeight="1">
      <c r="A10" s="6" t="s">
        <v>115</v>
      </c>
      <c r="B10" s="6" t="s">
        <v>116</v>
      </c>
      <c r="C10" s="6" t="s">
        <v>31</v>
      </c>
      <c r="D10" s="6" t="s">
        <v>76</v>
      </c>
      <c r="I10" s="6" t="s">
        <v>70</v>
      </c>
      <c r="J10" s="6" t="s">
        <v>74</v>
      </c>
      <c r="K10" s="6" t="s">
        <v>74</v>
      </c>
      <c r="L10" s="6">
        <v>3.0</v>
      </c>
      <c r="M10" s="6" t="s">
        <v>112</v>
      </c>
      <c r="N10" s="6">
        <v>0.0</v>
      </c>
      <c r="O10" s="6" t="s">
        <v>35</v>
      </c>
      <c r="P10" s="6" t="s">
        <v>117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30.25"/>
    <col customWidth="1" min="3" max="3" width="18.75"/>
    <col customWidth="1" min="4" max="4" width="25.25"/>
    <col customWidth="1" min="5" max="5" width="14.25"/>
    <col customWidth="1" min="6" max="6" width="28.75"/>
    <col customWidth="1" min="7" max="7" width="26.38"/>
    <col customWidth="1" min="8" max="8" width="21.75"/>
    <col customWidth="1" min="9" max="26" width="11.0"/>
  </cols>
  <sheetData>
    <row r="1" ht="48.0" customHeight="1">
      <c r="A1" s="7" t="s">
        <v>118</v>
      </c>
      <c r="B1" s="7" t="s">
        <v>119</v>
      </c>
      <c r="C1" s="7" t="s">
        <v>39</v>
      </c>
      <c r="D1" s="7" t="s">
        <v>40</v>
      </c>
      <c r="E1" s="7" t="s">
        <v>120</v>
      </c>
      <c r="F1" s="7" t="s">
        <v>121</v>
      </c>
      <c r="G1" s="7" t="s">
        <v>122</v>
      </c>
      <c r="H1" s="7" t="s">
        <v>42</v>
      </c>
      <c r="I1" s="7" t="s">
        <v>8</v>
      </c>
    </row>
    <row r="2" ht="15.75" customHeight="1">
      <c r="A2" s="2" t="s">
        <v>123</v>
      </c>
      <c r="B2" s="3" t="s">
        <v>124</v>
      </c>
      <c r="C2" s="2" t="s">
        <v>9</v>
      </c>
      <c r="D2" s="2" t="s">
        <v>125</v>
      </c>
      <c r="E2" s="2" t="s">
        <v>48</v>
      </c>
      <c r="F2" s="2" t="str">
        <f>VLOOKUP(E2, standard_link!$I$1:$O$5, 2, FALSE)</f>
        <v>HK_CUSTOMER_H</v>
      </c>
      <c r="G2" s="2" t="s">
        <v>125</v>
      </c>
      <c r="H2" s="2">
        <v>1.0</v>
      </c>
      <c r="I2" s="5" t="s">
        <v>52</v>
      </c>
    </row>
    <row r="3" ht="15.75" customHeight="1">
      <c r="A3" s="2" t="s">
        <v>123</v>
      </c>
      <c r="B3" s="3" t="s">
        <v>124</v>
      </c>
      <c r="C3" s="2" t="s">
        <v>9</v>
      </c>
      <c r="D3" s="2" t="s">
        <v>126</v>
      </c>
      <c r="E3" s="2" t="s">
        <v>48</v>
      </c>
      <c r="F3" s="2" t="str">
        <f>VLOOKUP(E3, standard_link!$I$1:$O$5, 2, FALSE)</f>
        <v>HK_CUSTOMER_H</v>
      </c>
      <c r="G3" s="2" t="s">
        <v>126</v>
      </c>
      <c r="H3" s="2">
        <v>2.0</v>
      </c>
      <c r="I3" s="5" t="s">
        <v>52</v>
      </c>
    </row>
    <row r="4" ht="15.75" customHeight="1">
      <c r="A4" s="2" t="s">
        <v>123</v>
      </c>
      <c r="B4" s="3" t="s">
        <v>124</v>
      </c>
      <c r="C4" s="2" t="s">
        <v>9</v>
      </c>
      <c r="D4" s="2" t="s">
        <v>127</v>
      </c>
      <c r="E4" s="2" t="s">
        <v>48</v>
      </c>
      <c r="F4" s="2" t="str">
        <f>VLOOKUP(E4, standard_link!$I$1:$O$5, 2, FALSE)</f>
        <v>HK_CUSTOMER_H</v>
      </c>
      <c r="G4" s="2" t="s">
        <v>127</v>
      </c>
      <c r="H4" s="2">
        <v>3.0</v>
      </c>
      <c r="I4" s="5" t="s">
        <v>52</v>
      </c>
    </row>
    <row r="5" ht="15.75" customHeight="1">
      <c r="A5" s="3" t="s">
        <v>128</v>
      </c>
      <c r="B5" s="3" t="s">
        <v>129</v>
      </c>
      <c r="C5" s="2" t="s">
        <v>9</v>
      </c>
      <c r="D5" s="3" t="s">
        <v>130</v>
      </c>
      <c r="E5" s="2" t="s">
        <v>48</v>
      </c>
      <c r="F5" s="2" t="str">
        <f>VLOOKUP(E5, standard_link!$I$1:$O$5, 2, FALSE)</f>
        <v>HK_CUSTOMER_H</v>
      </c>
      <c r="G5" s="3" t="s">
        <v>130</v>
      </c>
      <c r="H5" s="2">
        <v>1.0</v>
      </c>
      <c r="I5" s="5" t="s">
        <v>52</v>
      </c>
    </row>
    <row r="6" ht="15.75" customHeight="1">
      <c r="A6" s="3" t="s">
        <v>128</v>
      </c>
      <c r="B6" s="3" t="s">
        <v>129</v>
      </c>
      <c r="C6" s="2" t="s">
        <v>9</v>
      </c>
      <c r="D6" s="3" t="s">
        <v>131</v>
      </c>
      <c r="E6" s="2" t="s">
        <v>48</v>
      </c>
      <c r="F6" s="2" t="str">
        <f>VLOOKUP(E6, standard_link!$I$1:$O$5, 2, FALSE)</f>
        <v>HK_CUSTOMER_H</v>
      </c>
      <c r="G6" s="3" t="s">
        <v>131</v>
      </c>
      <c r="H6" s="2">
        <v>2.0</v>
      </c>
      <c r="I6" s="5" t="s">
        <v>52</v>
      </c>
    </row>
    <row r="7" ht="15.75" customHeight="1">
      <c r="A7" s="3" t="s">
        <v>128</v>
      </c>
      <c r="B7" s="3" t="s">
        <v>129</v>
      </c>
      <c r="C7" s="2" t="s">
        <v>9</v>
      </c>
      <c r="D7" s="3" t="s">
        <v>132</v>
      </c>
      <c r="E7" s="2" t="s">
        <v>48</v>
      </c>
      <c r="F7" s="2" t="str">
        <f>VLOOKUP(E7, standard_link!$I$1:$O$5, 2, FALSE)</f>
        <v>HK_CUSTOMER_H</v>
      </c>
      <c r="G7" s="3" t="s">
        <v>132</v>
      </c>
      <c r="H7" s="2">
        <v>3.0</v>
      </c>
      <c r="I7" s="5" t="s">
        <v>52</v>
      </c>
    </row>
    <row r="8" ht="15.75" customHeight="1">
      <c r="A8" s="3" t="s">
        <v>133</v>
      </c>
      <c r="B8" s="3" t="s">
        <v>134</v>
      </c>
      <c r="C8" s="2" t="s">
        <v>16</v>
      </c>
      <c r="D8" s="3" t="s">
        <v>135</v>
      </c>
      <c r="E8" s="3" t="s">
        <v>56</v>
      </c>
      <c r="F8" s="3" t="str">
        <f>VLOOKUP(E8, standard_link!$I$1:$O$5, 2, FALSE)</f>
        <v>HK_ORDER_H</v>
      </c>
      <c r="G8" s="3" t="s">
        <v>135</v>
      </c>
      <c r="H8" s="3">
        <v>1.0</v>
      </c>
      <c r="I8" s="6" t="s">
        <v>17</v>
      </c>
    </row>
    <row r="9" ht="15.75" customHeight="1">
      <c r="A9" s="3" t="s">
        <v>133</v>
      </c>
      <c r="B9" s="3" t="s">
        <v>134</v>
      </c>
      <c r="C9" s="2" t="s">
        <v>16</v>
      </c>
      <c r="D9" s="3" t="s">
        <v>136</v>
      </c>
      <c r="E9" s="3" t="s">
        <v>56</v>
      </c>
      <c r="F9" s="3" t="str">
        <f>VLOOKUP(E9, standard_link!$I$1:$O$5, 2, FALSE)</f>
        <v>HK_ORDER_H</v>
      </c>
      <c r="G9" s="3" t="s">
        <v>136</v>
      </c>
      <c r="H9" s="3">
        <v>2.0</v>
      </c>
      <c r="I9" s="6" t="s">
        <v>17</v>
      </c>
    </row>
    <row r="10" ht="15.75" customHeight="1">
      <c r="A10" s="3" t="s">
        <v>133</v>
      </c>
      <c r="B10" s="3" t="s">
        <v>134</v>
      </c>
      <c r="C10" s="2" t="s">
        <v>16</v>
      </c>
      <c r="D10" s="3" t="s">
        <v>137</v>
      </c>
      <c r="E10" s="3" t="s">
        <v>56</v>
      </c>
      <c r="F10" s="3" t="str">
        <f>VLOOKUP(E10, standard_link!$I$1:$O$5, 2, FALSE)</f>
        <v>HK_ORDER_H</v>
      </c>
      <c r="G10" s="3" t="s">
        <v>137</v>
      </c>
      <c r="H10" s="3">
        <v>3.0</v>
      </c>
      <c r="I10" s="6" t="s">
        <v>17</v>
      </c>
    </row>
    <row r="11" ht="15.75" customHeight="1">
      <c r="A11" s="3" t="s">
        <v>133</v>
      </c>
      <c r="B11" s="3" t="s">
        <v>134</v>
      </c>
      <c r="C11" s="2" t="s">
        <v>16</v>
      </c>
      <c r="D11" s="3" t="s">
        <v>138</v>
      </c>
      <c r="E11" s="3" t="s">
        <v>56</v>
      </c>
      <c r="F11" s="3" t="str">
        <f>VLOOKUP(E11, standard_link!$I$1:$O$5, 2, FALSE)</f>
        <v>HK_ORDER_H</v>
      </c>
      <c r="G11" s="3" t="s">
        <v>138</v>
      </c>
      <c r="H11" s="3">
        <v>4.0</v>
      </c>
      <c r="I11" s="6" t="s">
        <v>17</v>
      </c>
    </row>
    <row r="12" ht="15.75" customHeight="1">
      <c r="A12" s="3" t="s">
        <v>133</v>
      </c>
      <c r="B12" s="3" t="s">
        <v>134</v>
      </c>
      <c r="C12" s="2" t="s">
        <v>16</v>
      </c>
      <c r="D12" s="3" t="s">
        <v>139</v>
      </c>
      <c r="E12" s="3" t="s">
        <v>56</v>
      </c>
      <c r="F12" s="3" t="str">
        <f>VLOOKUP(E12, standard_link!$I$1:$O$5, 2, FALSE)</f>
        <v>HK_ORDER_H</v>
      </c>
      <c r="G12" s="3" t="s">
        <v>139</v>
      </c>
      <c r="H12" s="3">
        <v>5.0</v>
      </c>
      <c r="I12" s="6" t="s">
        <v>17</v>
      </c>
    </row>
    <row r="13" ht="15.75" customHeight="1">
      <c r="A13" s="3" t="s">
        <v>133</v>
      </c>
      <c r="B13" s="3" t="s">
        <v>134</v>
      </c>
      <c r="C13" s="2" t="s">
        <v>16</v>
      </c>
      <c r="D13" s="3" t="s">
        <v>140</v>
      </c>
      <c r="E13" s="3" t="s">
        <v>56</v>
      </c>
      <c r="F13" s="3" t="str">
        <f>VLOOKUP(E13, standard_link!$I$1:$O$5, 2, FALSE)</f>
        <v>HK_ORDER_H</v>
      </c>
      <c r="G13" s="3" t="s">
        <v>140</v>
      </c>
      <c r="H13" s="3">
        <v>6.0</v>
      </c>
      <c r="I13" s="6" t="s">
        <v>17</v>
      </c>
    </row>
    <row r="14" ht="15.75" customHeight="1">
      <c r="A14" s="3" t="s">
        <v>133</v>
      </c>
      <c r="B14" s="3" t="s">
        <v>134</v>
      </c>
      <c r="C14" s="2" t="s">
        <v>16</v>
      </c>
      <c r="D14" s="3" t="s">
        <v>141</v>
      </c>
      <c r="E14" s="3" t="s">
        <v>56</v>
      </c>
      <c r="F14" s="3" t="str">
        <f>VLOOKUP(E14, standard_link!$I$1:$O$5, 2, FALSE)</f>
        <v>HK_ORDER_H</v>
      </c>
      <c r="G14" s="3" t="s">
        <v>141</v>
      </c>
      <c r="H14" s="3">
        <v>7.0</v>
      </c>
      <c r="I14" s="6" t="s">
        <v>17</v>
      </c>
    </row>
    <row r="15" ht="15.75" customHeight="1">
      <c r="A15" s="3" t="s">
        <v>142</v>
      </c>
      <c r="B15" s="3" t="s">
        <v>143</v>
      </c>
      <c r="C15" s="3" t="s">
        <v>25</v>
      </c>
      <c r="D15" s="3" t="s">
        <v>144</v>
      </c>
      <c r="E15" s="3" t="s">
        <v>65</v>
      </c>
      <c r="F15" s="2" t="str">
        <f>VLOOKUP(E15, standard_link!$I$1:$O$5, 2, FALSE)</f>
        <v>HK_SUPPLIER_H</v>
      </c>
      <c r="G15" s="3" t="s">
        <v>144</v>
      </c>
      <c r="H15" s="3">
        <v>1.0</v>
      </c>
      <c r="I15" s="6" t="s">
        <v>69</v>
      </c>
    </row>
    <row r="16" ht="15.75" customHeight="1">
      <c r="A16" s="3" t="s">
        <v>142</v>
      </c>
      <c r="B16" s="3" t="s">
        <v>143</v>
      </c>
      <c r="C16" s="3" t="s">
        <v>25</v>
      </c>
      <c r="D16" s="3" t="s">
        <v>145</v>
      </c>
      <c r="E16" s="3" t="s">
        <v>65</v>
      </c>
      <c r="F16" s="2" t="str">
        <f>VLOOKUP(E16, standard_link!$I$1:$O$5, 2, FALSE)</f>
        <v>HK_SUPPLIER_H</v>
      </c>
      <c r="G16" s="3" t="s">
        <v>145</v>
      </c>
      <c r="H16" s="3">
        <v>2.0</v>
      </c>
      <c r="I16" s="6" t="s">
        <v>69</v>
      </c>
    </row>
    <row r="17" ht="15.75" customHeight="1">
      <c r="A17" s="3" t="s">
        <v>146</v>
      </c>
      <c r="B17" s="3" t="s">
        <v>147</v>
      </c>
      <c r="C17" s="3" t="s">
        <v>25</v>
      </c>
      <c r="D17" s="3" t="s">
        <v>148</v>
      </c>
      <c r="E17" s="3" t="s">
        <v>65</v>
      </c>
      <c r="F17" s="2" t="str">
        <f>VLOOKUP(E17, standard_link!$I$1:$O$5, 2, FALSE)</f>
        <v>HK_SUPPLIER_H</v>
      </c>
      <c r="G17" s="3" t="s">
        <v>148</v>
      </c>
      <c r="H17" s="3">
        <v>1.0</v>
      </c>
      <c r="I17" s="6" t="s">
        <v>69</v>
      </c>
    </row>
    <row r="18" ht="15.75" customHeight="1">
      <c r="A18" s="3" t="s">
        <v>149</v>
      </c>
      <c r="B18" s="3" t="s">
        <v>150</v>
      </c>
      <c r="C18" s="6" t="s">
        <v>28</v>
      </c>
      <c r="D18" s="3" t="s">
        <v>151</v>
      </c>
      <c r="E18" s="3" t="s">
        <v>105</v>
      </c>
      <c r="F18" s="3" t="s">
        <v>108</v>
      </c>
      <c r="G18" s="3" t="s">
        <v>151</v>
      </c>
      <c r="H18" s="3">
        <v>1.0</v>
      </c>
      <c r="I18" s="6" t="s">
        <v>64</v>
      </c>
    </row>
    <row r="19" ht="15.75" customHeight="1">
      <c r="A19" s="3" t="s">
        <v>149</v>
      </c>
      <c r="B19" s="3" t="s">
        <v>150</v>
      </c>
      <c r="C19" s="6" t="s">
        <v>28</v>
      </c>
      <c r="D19" s="3" t="s">
        <v>152</v>
      </c>
      <c r="E19" s="3" t="s">
        <v>105</v>
      </c>
      <c r="F19" s="3" t="s">
        <v>108</v>
      </c>
      <c r="G19" s="3" t="s">
        <v>152</v>
      </c>
      <c r="H19" s="3">
        <v>2.0</v>
      </c>
      <c r="I19" s="6" t="s">
        <v>64</v>
      </c>
    </row>
    <row r="20" ht="15.75" customHeight="1">
      <c r="A20" s="3" t="s">
        <v>149</v>
      </c>
      <c r="B20" s="3" t="s">
        <v>150</v>
      </c>
      <c r="C20" s="6" t="s">
        <v>28</v>
      </c>
      <c r="D20" s="3" t="s">
        <v>153</v>
      </c>
      <c r="E20" s="3" t="s">
        <v>105</v>
      </c>
      <c r="F20" s="3" t="s">
        <v>108</v>
      </c>
      <c r="G20" s="3" t="s">
        <v>153</v>
      </c>
      <c r="H20" s="3">
        <v>3.0</v>
      </c>
      <c r="I20" s="6" t="s">
        <v>64</v>
      </c>
    </row>
    <row r="21" ht="15.75" customHeight="1">
      <c r="A21" s="3" t="s">
        <v>154</v>
      </c>
      <c r="B21" s="3" t="s">
        <v>155</v>
      </c>
      <c r="C21" s="2" t="s">
        <v>19</v>
      </c>
      <c r="D21" s="3" t="s">
        <v>156</v>
      </c>
      <c r="E21" s="3" t="s">
        <v>60</v>
      </c>
      <c r="F21" s="3" t="s">
        <v>63</v>
      </c>
      <c r="G21" s="3" t="s">
        <v>156</v>
      </c>
      <c r="H21" s="3">
        <v>1.0</v>
      </c>
      <c r="I21" s="6" t="s">
        <v>64</v>
      </c>
    </row>
    <row r="22" ht="15.75" customHeight="1">
      <c r="A22" s="3" t="s">
        <v>154</v>
      </c>
      <c r="B22" s="3" t="s">
        <v>155</v>
      </c>
      <c r="C22" s="2" t="s">
        <v>19</v>
      </c>
      <c r="D22" s="3" t="s">
        <v>157</v>
      </c>
      <c r="E22" s="3" t="s">
        <v>60</v>
      </c>
      <c r="F22" s="3" t="s">
        <v>63</v>
      </c>
      <c r="G22" s="3" t="s">
        <v>157</v>
      </c>
      <c r="H22" s="3">
        <v>2.0</v>
      </c>
      <c r="I22" s="6" t="s">
        <v>64</v>
      </c>
    </row>
    <row r="23" ht="15.75" customHeight="1">
      <c r="A23" s="3" t="s">
        <v>154</v>
      </c>
      <c r="B23" s="3" t="s">
        <v>155</v>
      </c>
      <c r="C23" s="2" t="s">
        <v>19</v>
      </c>
      <c r="D23" s="3" t="s">
        <v>158</v>
      </c>
      <c r="E23" s="3" t="s">
        <v>60</v>
      </c>
      <c r="F23" s="3" t="s">
        <v>63</v>
      </c>
      <c r="G23" s="3" t="s">
        <v>158</v>
      </c>
      <c r="H23" s="3">
        <v>3.0</v>
      </c>
      <c r="I23" s="6" t="s">
        <v>64</v>
      </c>
    </row>
    <row r="24" ht="15.75" customHeight="1">
      <c r="A24" s="3" t="s">
        <v>154</v>
      </c>
      <c r="B24" s="3" t="s">
        <v>155</v>
      </c>
      <c r="C24" s="2" t="s">
        <v>19</v>
      </c>
      <c r="D24" s="3" t="s">
        <v>159</v>
      </c>
      <c r="E24" s="3" t="s">
        <v>60</v>
      </c>
      <c r="F24" s="3" t="s">
        <v>63</v>
      </c>
      <c r="G24" s="3" t="s">
        <v>159</v>
      </c>
      <c r="H24" s="3">
        <v>4.0</v>
      </c>
      <c r="I24" s="6" t="s">
        <v>64</v>
      </c>
    </row>
    <row r="25" ht="15.75" customHeight="1">
      <c r="A25" s="3" t="s">
        <v>154</v>
      </c>
      <c r="B25" s="3" t="s">
        <v>155</v>
      </c>
      <c r="C25" s="2" t="s">
        <v>19</v>
      </c>
      <c r="D25" s="6" t="s">
        <v>160</v>
      </c>
      <c r="E25" s="3" t="s">
        <v>60</v>
      </c>
      <c r="F25" s="3" t="s">
        <v>63</v>
      </c>
      <c r="G25" s="6" t="s">
        <v>160</v>
      </c>
      <c r="H25" s="6">
        <v>5.0</v>
      </c>
      <c r="I25" s="6" t="s">
        <v>64</v>
      </c>
    </row>
    <row r="26" ht="15.75" customHeight="1">
      <c r="A26" s="3" t="s">
        <v>154</v>
      </c>
      <c r="B26" s="3" t="s">
        <v>155</v>
      </c>
      <c r="C26" s="2" t="s">
        <v>19</v>
      </c>
      <c r="D26" s="6" t="s">
        <v>161</v>
      </c>
      <c r="E26" s="3" t="s">
        <v>60</v>
      </c>
      <c r="F26" s="3" t="s">
        <v>63</v>
      </c>
      <c r="G26" s="6" t="s">
        <v>161</v>
      </c>
      <c r="H26" s="6">
        <v>6.0</v>
      </c>
      <c r="I26" s="6" t="s">
        <v>64</v>
      </c>
    </row>
    <row r="27" ht="15.75" customHeight="1">
      <c r="A27" s="3" t="s">
        <v>154</v>
      </c>
      <c r="B27" s="3" t="s">
        <v>155</v>
      </c>
      <c r="C27" s="2" t="s">
        <v>19</v>
      </c>
      <c r="D27" s="6" t="s">
        <v>162</v>
      </c>
      <c r="E27" s="3" t="s">
        <v>60</v>
      </c>
      <c r="F27" s="3" t="s">
        <v>63</v>
      </c>
      <c r="G27" s="6" t="s">
        <v>162</v>
      </c>
      <c r="H27" s="6">
        <v>7.0</v>
      </c>
      <c r="I27" s="6" t="s">
        <v>64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9.38"/>
    <col customWidth="1" min="3" max="3" width="18.25"/>
    <col customWidth="1" min="4" max="4" width="24.75"/>
    <col customWidth="1" min="5" max="5" width="13.25"/>
    <col customWidth="1" min="6" max="6" width="28.13"/>
    <col customWidth="1" min="7" max="7" width="18.25"/>
    <col customWidth="1" min="8" max="8" width="24.38"/>
    <col customWidth="1" min="9" max="9" width="21.75"/>
    <col customWidth="1" min="10" max="26" width="11.0"/>
  </cols>
  <sheetData>
    <row r="1" ht="48.0" customHeight="1">
      <c r="A1" s="10" t="s">
        <v>163</v>
      </c>
      <c r="B1" s="12" t="s">
        <v>119</v>
      </c>
      <c r="C1" s="10" t="s">
        <v>0</v>
      </c>
      <c r="D1" s="10" t="s">
        <v>92</v>
      </c>
      <c r="E1" s="10" t="s">
        <v>164</v>
      </c>
      <c r="F1" s="10" t="s">
        <v>165</v>
      </c>
      <c r="G1" s="7" t="s">
        <v>166</v>
      </c>
      <c r="H1" s="10" t="s">
        <v>99</v>
      </c>
      <c r="I1" s="7" t="s">
        <v>42</v>
      </c>
      <c r="J1" s="7" t="s">
        <v>8</v>
      </c>
      <c r="K1" s="6" t="s">
        <v>167</v>
      </c>
    </row>
    <row r="2" ht="15.75" customHeight="1">
      <c r="A2" s="3" t="s">
        <v>168</v>
      </c>
      <c r="B2" s="3" t="s">
        <v>169</v>
      </c>
      <c r="C2" s="2" t="s">
        <v>9</v>
      </c>
      <c r="D2" s="3" t="s">
        <v>170</v>
      </c>
      <c r="E2" s="2" t="s">
        <v>48</v>
      </c>
      <c r="F2" s="2" t="s">
        <v>49</v>
      </c>
      <c r="G2" s="3" t="s">
        <v>171</v>
      </c>
      <c r="H2" s="3" t="s">
        <v>172</v>
      </c>
      <c r="I2" s="3">
        <v>1.0</v>
      </c>
      <c r="J2" s="6" t="s">
        <v>11</v>
      </c>
      <c r="K2" s="6" t="s">
        <v>173</v>
      </c>
    </row>
    <row r="3" ht="15.75" customHeight="1">
      <c r="A3" s="3" t="s">
        <v>168</v>
      </c>
      <c r="B3" s="3" t="s">
        <v>169</v>
      </c>
      <c r="C3" s="2" t="s">
        <v>9</v>
      </c>
      <c r="D3" s="3" t="s">
        <v>174</v>
      </c>
      <c r="E3" s="2" t="s">
        <v>48</v>
      </c>
      <c r="F3" s="2" t="s">
        <v>49</v>
      </c>
      <c r="G3" s="3" t="s">
        <v>171</v>
      </c>
      <c r="H3" s="3" t="s">
        <v>174</v>
      </c>
      <c r="I3" s="3">
        <v>2.0</v>
      </c>
      <c r="J3" s="6" t="s">
        <v>11</v>
      </c>
    </row>
    <row r="4" ht="15.75" customHeight="1">
      <c r="A4" s="3" t="s">
        <v>168</v>
      </c>
      <c r="B4" s="3" t="s">
        <v>169</v>
      </c>
      <c r="C4" s="2" t="s">
        <v>9</v>
      </c>
      <c r="D4" s="3" t="s">
        <v>175</v>
      </c>
      <c r="E4" s="2" t="s">
        <v>48</v>
      </c>
      <c r="F4" s="2" t="s">
        <v>49</v>
      </c>
      <c r="G4" s="3" t="s">
        <v>171</v>
      </c>
      <c r="H4" s="3"/>
      <c r="I4" s="3">
        <v>3.0</v>
      </c>
      <c r="J4" s="6" t="s">
        <v>11</v>
      </c>
      <c r="K4" s="6" t="s">
        <v>176</v>
      </c>
    </row>
    <row r="5" ht="15.75" customHeight="1">
      <c r="A5" s="3" t="s">
        <v>177</v>
      </c>
      <c r="B5" s="3" t="s">
        <v>178</v>
      </c>
      <c r="C5" s="2" t="s">
        <v>19</v>
      </c>
      <c r="D5" s="3" t="s">
        <v>179</v>
      </c>
      <c r="E5" s="3" t="s">
        <v>60</v>
      </c>
      <c r="F5" s="3" t="s">
        <v>61</v>
      </c>
      <c r="G5" s="3" t="s">
        <v>180</v>
      </c>
      <c r="H5" s="3" t="s">
        <v>179</v>
      </c>
      <c r="I5" s="3">
        <v>1.0</v>
      </c>
      <c r="J5" s="6" t="s">
        <v>20</v>
      </c>
      <c r="K5" s="6" t="s">
        <v>181</v>
      </c>
    </row>
    <row r="6" ht="15.75" customHeight="1">
      <c r="A6" s="3" t="s">
        <v>177</v>
      </c>
      <c r="B6" s="3" t="s">
        <v>178</v>
      </c>
      <c r="C6" s="2" t="s">
        <v>19</v>
      </c>
      <c r="D6" s="3" t="s">
        <v>182</v>
      </c>
      <c r="E6" s="3" t="s">
        <v>60</v>
      </c>
      <c r="F6" s="3" t="s">
        <v>61</v>
      </c>
      <c r="G6" s="3" t="s">
        <v>180</v>
      </c>
      <c r="H6" s="3"/>
      <c r="I6" s="3">
        <v>2.0</v>
      </c>
      <c r="J6" s="6" t="s">
        <v>20</v>
      </c>
      <c r="K6" s="6" t="s">
        <v>176</v>
      </c>
    </row>
    <row r="7" ht="15.75" customHeight="1">
      <c r="B7" s="2"/>
    </row>
    <row r="8" ht="15.75" customHeight="1">
      <c r="B8" s="2"/>
    </row>
    <row r="9" ht="15.75" customHeight="1">
      <c r="B9" s="2"/>
    </row>
    <row r="10" ht="15.75" customHeight="1">
      <c r="B10" s="2"/>
    </row>
    <row r="11" ht="15.75" customHeight="1">
      <c r="B11" s="2"/>
    </row>
    <row r="12" ht="15.75" customHeight="1">
      <c r="B12" s="2"/>
    </row>
    <row r="13" ht="15.75" customHeight="1">
      <c r="B13" s="2"/>
    </row>
    <row r="14" ht="15.75" customHeight="1">
      <c r="B14" s="2"/>
    </row>
    <row r="15" ht="15.75" customHeight="1">
      <c r="B15" s="2"/>
    </row>
    <row r="16" ht="15.75" customHeight="1">
      <c r="B16" s="2"/>
    </row>
    <row r="17" ht="15.75" customHeight="1">
      <c r="B17" s="2"/>
    </row>
    <row r="18" ht="15.75" customHeight="1">
      <c r="B18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6.13"/>
    <col customWidth="1" min="3" max="3" width="18.75"/>
    <col customWidth="1" min="4" max="4" width="24.75"/>
    <col customWidth="1" min="5" max="5" width="18.75"/>
    <col customWidth="1" min="6" max="6" width="23.0"/>
    <col customWidth="1" min="7" max="7" width="26.63"/>
    <col customWidth="1" min="8" max="8" width="23.13"/>
    <col customWidth="1" min="9" max="9" width="11.25"/>
    <col customWidth="1" min="10" max="10" width="26.25"/>
    <col customWidth="1" min="11" max="11" width="24.38"/>
    <col customWidth="1" min="12" max="12" width="21.75"/>
    <col customWidth="1" min="13" max="13" width="38.5"/>
    <col customWidth="1" min="14" max="26" width="11.0"/>
  </cols>
  <sheetData>
    <row r="1" ht="48.0" customHeight="1">
      <c r="A1" s="10" t="s">
        <v>183</v>
      </c>
      <c r="B1" s="10" t="s">
        <v>91</v>
      </c>
      <c r="C1" s="10" t="s">
        <v>39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  <c r="J1" s="10" t="s">
        <v>98</v>
      </c>
      <c r="K1" s="10" t="s">
        <v>99</v>
      </c>
      <c r="L1" s="10" t="s">
        <v>42</v>
      </c>
      <c r="M1" s="10" t="s">
        <v>43</v>
      </c>
      <c r="N1" s="7" t="s">
        <v>44</v>
      </c>
      <c r="O1" s="7" t="s">
        <v>8</v>
      </c>
    </row>
    <row r="2" ht="15.75" customHeight="1">
      <c r="A2" s="3" t="s">
        <v>184</v>
      </c>
      <c r="B2" s="13" t="s">
        <v>185</v>
      </c>
      <c r="C2" s="3" t="s">
        <v>22</v>
      </c>
      <c r="D2" s="3" t="s">
        <v>186</v>
      </c>
      <c r="I2" s="3" t="s">
        <v>60</v>
      </c>
      <c r="J2" s="3" t="str">
        <f>VLOOKUP(I2, standard_link!$I$1:$O$5, 2, FALSE)</f>
        <v>HK_PART_H</v>
      </c>
      <c r="K2" s="3" t="s">
        <v>63</v>
      </c>
      <c r="L2" s="3">
        <v>1.0</v>
      </c>
      <c r="M2" s="13" t="s">
        <v>187</v>
      </c>
      <c r="N2" s="6">
        <v>0.0</v>
      </c>
      <c r="O2" s="6" t="s">
        <v>23</v>
      </c>
    </row>
    <row r="3" ht="15.75" customHeight="1">
      <c r="A3" s="3" t="s">
        <v>184</v>
      </c>
      <c r="B3" s="13" t="s">
        <v>185</v>
      </c>
      <c r="C3" s="3" t="s">
        <v>22</v>
      </c>
      <c r="D3" s="3" t="s">
        <v>188</v>
      </c>
      <c r="I3" s="3" t="s">
        <v>56</v>
      </c>
      <c r="J3" s="3" t="str">
        <f>VLOOKUP(I3, standard_link!$I$1:$O$5, 2, FALSE)</f>
        <v>HK_ORDER_H</v>
      </c>
      <c r="K3" s="3" t="s">
        <v>59</v>
      </c>
      <c r="L3" s="3">
        <v>2.0</v>
      </c>
      <c r="M3" s="13" t="s">
        <v>187</v>
      </c>
      <c r="N3" s="6">
        <v>0.0</v>
      </c>
      <c r="O3" s="6" t="s">
        <v>23</v>
      </c>
    </row>
    <row r="4" ht="15.75" customHeight="1">
      <c r="A4" s="3" t="s">
        <v>184</v>
      </c>
      <c r="B4" s="13" t="s">
        <v>185</v>
      </c>
      <c r="C4" s="3" t="s">
        <v>22</v>
      </c>
      <c r="D4" s="3" t="s">
        <v>189</v>
      </c>
      <c r="I4" s="3" t="s">
        <v>65</v>
      </c>
      <c r="J4" s="8" t="str">
        <f>VLOOKUP(I4, standard_link!$I$1:$O$5, 2, FALSE)</f>
        <v>HK_SUPPLIER_H</v>
      </c>
      <c r="K4" s="14" t="s">
        <v>68</v>
      </c>
      <c r="L4" s="6">
        <v>3.0</v>
      </c>
      <c r="M4" s="13" t="s">
        <v>187</v>
      </c>
      <c r="N4" s="6">
        <v>0.0</v>
      </c>
      <c r="O4" s="6" t="s">
        <v>23</v>
      </c>
    </row>
    <row r="5" ht="15.75" customHeight="1">
      <c r="A5" s="3" t="s">
        <v>184</v>
      </c>
      <c r="B5" s="13" t="s">
        <v>185</v>
      </c>
      <c r="C5" s="3" t="s">
        <v>22</v>
      </c>
      <c r="D5" s="3" t="s">
        <v>190</v>
      </c>
      <c r="K5" s="3" t="s">
        <v>190</v>
      </c>
      <c r="L5" s="3">
        <v>4.0</v>
      </c>
      <c r="M5" s="13" t="s">
        <v>187</v>
      </c>
      <c r="N5" s="6">
        <v>0.0</v>
      </c>
      <c r="O5" s="6" t="s">
        <v>23</v>
      </c>
    </row>
    <row r="6" ht="15.75" customHeight="1">
      <c r="A6" s="3" t="s">
        <v>184</v>
      </c>
      <c r="B6" s="13" t="s">
        <v>185</v>
      </c>
      <c r="C6" s="3" t="s">
        <v>22</v>
      </c>
      <c r="D6" s="6" t="s">
        <v>191</v>
      </c>
      <c r="K6" s="6" t="s">
        <v>191</v>
      </c>
      <c r="L6" s="3">
        <v>5.0</v>
      </c>
      <c r="M6" s="13"/>
      <c r="N6" s="6">
        <v>0.0</v>
      </c>
      <c r="O6" s="6" t="s">
        <v>23</v>
      </c>
    </row>
    <row r="7" ht="15.75" customHeight="1">
      <c r="A7" s="3" t="s">
        <v>184</v>
      </c>
      <c r="B7" s="13" t="s">
        <v>185</v>
      </c>
      <c r="C7" s="3" t="s">
        <v>22</v>
      </c>
      <c r="D7" s="6" t="s">
        <v>192</v>
      </c>
      <c r="K7" s="6" t="s">
        <v>192</v>
      </c>
      <c r="L7" s="6">
        <v>6.0</v>
      </c>
      <c r="M7" s="13"/>
      <c r="N7" s="6">
        <v>0.0</v>
      </c>
      <c r="O7" s="6" t="s">
        <v>23</v>
      </c>
    </row>
    <row r="8" ht="15.75" customHeight="1">
      <c r="A8" s="3" t="s">
        <v>184</v>
      </c>
      <c r="B8" s="13" t="s">
        <v>185</v>
      </c>
      <c r="C8" s="3" t="s">
        <v>22</v>
      </c>
      <c r="D8" s="6" t="s">
        <v>193</v>
      </c>
      <c r="K8" s="6" t="s">
        <v>193</v>
      </c>
      <c r="L8" s="3">
        <v>7.0</v>
      </c>
      <c r="M8" s="13"/>
      <c r="N8" s="6">
        <v>0.0</v>
      </c>
      <c r="O8" s="6" t="s">
        <v>23</v>
      </c>
    </row>
    <row r="9" ht="15.75" customHeight="1">
      <c r="A9" s="3" t="s">
        <v>184</v>
      </c>
      <c r="B9" s="13" t="s">
        <v>185</v>
      </c>
      <c r="C9" s="3" t="s">
        <v>22</v>
      </c>
      <c r="D9" s="6" t="s">
        <v>194</v>
      </c>
      <c r="K9" s="6" t="s">
        <v>194</v>
      </c>
      <c r="L9" s="3">
        <v>8.0</v>
      </c>
      <c r="M9" s="13"/>
      <c r="N9" s="6">
        <v>0.0</v>
      </c>
      <c r="O9" s="6" t="s">
        <v>23</v>
      </c>
    </row>
    <row r="10" ht="15.75" customHeight="1">
      <c r="A10" s="3" t="s">
        <v>184</v>
      </c>
      <c r="B10" s="13" t="s">
        <v>185</v>
      </c>
      <c r="C10" s="3" t="s">
        <v>22</v>
      </c>
      <c r="D10" s="6" t="s">
        <v>195</v>
      </c>
      <c r="K10" s="6" t="s">
        <v>195</v>
      </c>
      <c r="L10" s="6">
        <v>9.0</v>
      </c>
      <c r="M10" s="13"/>
      <c r="N10" s="6">
        <v>0.0</v>
      </c>
      <c r="O10" s="6" t="s">
        <v>23</v>
      </c>
    </row>
    <row r="11" ht="15.75" customHeight="1">
      <c r="A11" s="3" t="s">
        <v>184</v>
      </c>
      <c r="B11" s="13" t="s">
        <v>185</v>
      </c>
      <c r="C11" s="3" t="s">
        <v>22</v>
      </c>
      <c r="D11" s="6" t="s">
        <v>196</v>
      </c>
      <c r="K11" s="6" t="s">
        <v>196</v>
      </c>
      <c r="L11" s="3">
        <v>10.0</v>
      </c>
      <c r="M11" s="13"/>
      <c r="N11" s="6">
        <v>0.0</v>
      </c>
      <c r="O11" s="6" t="s">
        <v>23</v>
      </c>
    </row>
    <row r="12" ht="15.75" customHeight="1">
      <c r="A12" s="3" t="s">
        <v>184</v>
      </c>
      <c r="B12" s="13" t="s">
        <v>185</v>
      </c>
      <c r="C12" s="3" t="s">
        <v>22</v>
      </c>
      <c r="D12" s="6" t="s">
        <v>197</v>
      </c>
      <c r="K12" s="6" t="s">
        <v>197</v>
      </c>
      <c r="L12" s="3">
        <v>11.0</v>
      </c>
      <c r="M12" s="13"/>
      <c r="N12" s="6">
        <v>0.0</v>
      </c>
      <c r="O12" s="6" t="s">
        <v>23</v>
      </c>
    </row>
    <row r="13" ht="15.75" customHeight="1">
      <c r="A13" s="3" t="s">
        <v>184</v>
      </c>
      <c r="B13" s="13" t="s">
        <v>185</v>
      </c>
      <c r="C13" s="3" t="s">
        <v>22</v>
      </c>
      <c r="D13" s="6" t="s">
        <v>198</v>
      </c>
      <c r="K13" s="6" t="s">
        <v>198</v>
      </c>
      <c r="L13" s="6">
        <v>12.0</v>
      </c>
      <c r="M13" s="13"/>
      <c r="N13" s="6">
        <v>0.0</v>
      </c>
      <c r="O13" s="6" t="s">
        <v>23</v>
      </c>
    </row>
    <row r="14" ht="15.75" customHeight="1">
      <c r="A14" s="3" t="s">
        <v>184</v>
      </c>
      <c r="B14" s="13" t="s">
        <v>185</v>
      </c>
      <c r="C14" s="3" t="s">
        <v>22</v>
      </c>
      <c r="D14" s="6" t="s">
        <v>199</v>
      </c>
      <c r="K14" s="6" t="s">
        <v>199</v>
      </c>
      <c r="L14" s="3">
        <v>13.0</v>
      </c>
      <c r="M14" s="13"/>
      <c r="N14" s="6">
        <v>0.0</v>
      </c>
      <c r="O14" s="6" t="s">
        <v>23</v>
      </c>
    </row>
    <row r="15" ht="15.75" customHeight="1">
      <c r="A15" s="3" t="s">
        <v>184</v>
      </c>
      <c r="B15" s="13" t="s">
        <v>185</v>
      </c>
      <c r="C15" s="3" t="s">
        <v>22</v>
      </c>
      <c r="D15" s="6" t="s">
        <v>200</v>
      </c>
      <c r="K15" s="6" t="s">
        <v>200</v>
      </c>
      <c r="L15" s="3">
        <v>14.0</v>
      </c>
      <c r="M15" s="13"/>
      <c r="N15" s="6">
        <v>0.0</v>
      </c>
      <c r="O15" s="6" t="s">
        <v>23</v>
      </c>
    </row>
    <row r="16" ht="15.75" customHeight="1">
      <c r="A16" s="3" t="s">
        <v>184</v>
      </c>
      <c r="B16" s="13" t="s">
        <v>185</v>
      </c>
      <c r="C16" s="3" t="s">
        <v>22</v>
      </c>
      <c r="D16" s="6" t="s">
        <v>201</v>
      </c>
      <c r="K16" s="6" t="s">
        <v>201</v>
      </c>
      <c r="L16" s="3">
        <v>15.0</v>
      </c>
      <c r="M16" s="13"/>
      <c r="N16" s="6">
        <v>0.0</v>
      </c>
      <c r="O16" s="6" t="s">
        <v>23</v>
      </c>
    </row>
    <row r="17" ht="15.75" customHeight="1">
      <c r="A17" s="3" t="s">
        <v>184</v>
      </c>
      <c r="B17" s="13" t="s">
        <v>185</v>
      </c>
      <c r="C17" s="3" t="s">
        <v>22</v>
      </c>
      <c r="D17" s="6" t="s">
        <v>202</v>
      </c>
      <c r="K17" s="6" t="s">
        <v>202</v>
      </c>
      <c r="L17" s="3">
        <v>16.0</v>
      </c>
      <c r="M17" s="13"/>
      <c r="N17" s="6">
        <v>0.0</v>
      </c>
      <c r="O17" s="6" t="s">
        <v>23</v>
      </c>
    </row>
    <row r="18" ht="15.75" customHeight="1">
      <c r="L18" s="3">
        <v>17.0</v>
      </c>
      <c r="M18" s="13"/>
      <c r="N18" s="6">
        <v>0.0</v>
      </c>
      <c r="O18" s="6" t="s">
        <v>23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0.25"/>
    <col customWidth="1" min="3" max="3" width="18.75"/>
    <col customWidth="1" min="4" max="4" width="25.25"/>
    <col customWidth="1" min="5" max="5" width="13.25"/>
    <col customWidth="1" min="6" max="6" width="28.75"/>
    <col customWidth="1" min="7" max="7" width="24.88"/>
    <col customWidth="1" min="8" max="26" width="11.0"/>
  </cols>
  <sheetData>
    <row r="1" ht="42.75" customHeight="1">
      <c r="A1" s="7" t="s">
        <v>203</v>
      </c>
      <c r="B1" s="7" t="s">
        <v>119</v>
      </c>
      <c r="C1" s="7" t="s">
        <v>39</v>
      </c>
      <c r="D1" s="7" t="s">
        <v>40</v>
      </c>
      <c r="E1" s="7" t="s">
        <v>164</v>
      </c>
      <c r="F1" s="7" t="s">
        <v>121</v>
      </c>
      <c r="G1" s="7" t="s">
        <v>122</v>
      </c>
      <c r="H1" s="7" t="s">
        <v>8</v>
      </c>
    </row>
    <row r="2" ht="15.75" customHeight="1">
      <c r="A2" s="3" t="s">
        <v>204</v>
      </c>
      <c r="B2" s="3" t="s">
        <v>205</v>
      </c>
      <c r="C2" s="3" t="s">
        <v>22</v>
      </c>
      <c r="D2" s="3" t="s">
        <v>206</v>
      </c>
      <c r="E2" s="3" t="s">
        <v>184</v>
      </c>
      <c r="F2" s="13" t="s">
        <v>187</v>
      </c>
      <c r="G2" s="3" t="s">
        <v>206</v>
      </c>
      <c r="H2" s="6" t="s">
        <v>207</v>
      </c>
    </row>
    <row r="3" ht="15.75" customHeight="1">
      <c r="A3" s="3" t="s">
        <v>204</v>
      </c>
      <c r="B3" s="3" t="s">
        <v>205</v>
      </c>
      <c r="C3" s="3" t="s">
        <v>22</v>
      </c>
      <c r="D3" s="3" t="s">
        <v>208</v>
      </c>
      <c r="E3" s="3" t="s">
        <v>184</v>
      </c>
      <c r="F3" s="13" t="s">
        <v>187</v>
      </c>
      <c r="G3" s="3" t="s">
        <v>208</v>
      </c>
      <c r="H3" s="6" t="s">
        <v>207</v>
      </c>
    </row>
    <row r="4" ht="15.75" customHeight="1">
      <c r="A4" s="3" t="s">
        <v>204</v>
      </c>
      <c r="B4" s="3" t="s">
        <v>205</v>
      </c>
      <c r="C4" s="3" t="s">
        <v>22</v>
      </c>
      <c r="D4" s="3" t="s">
        <v>209</v>
      </c>
      <c r="E4" s="3" t="s">
        <v>184</v>
      </c>
      <c r="F4" s="13" t="s">
        <v>187</v>
      </c>
      <c r="G4" s="3" t="s">
        <v>209</v>
      </c>
      <c r="H4" s="6" t="s">
        <v>207</v>
      </c>
    </row>
    <row r="5" ht="15.75" customHeight="1">
      <c r="A5" s="2"/>
      <c r="B5" s="2"/>
      <c r="C5" s="2"/>
      <c r="D5" s="2"/>
      <c r="E5" s="2"/>
      <c r="F5" s="2"/>
      <c r="G5" s="2"/>
    </row>
    <row r="6" ht="15.75" customHeight="1">
      <c r="A6" s="2"/>
      <c r="B6" s="2"/>
      <c r="C6" s="2"/>
      <c r="D6" s="2"/>
      <c r="E6" s="2"/>
      <c r="F6" s="2"/>
      <c r="G6" s="2"/>
    </row>
    <row r="7" ht="15.75" customHeight="1">
      <c r="A7" s="2"/>
      <c r="B7" s="2"/>
      <c r="C7" s="2"/>
      <c r="D7" s="2"/>
      <c r="E7" s="2"/>
      <c r="F7" s="2"/>
      <c r="G7" s="2"/>
    </row>
    <row r="8" ht="15.75" customHeight="1">
      <c r="A8" s="2"/>
      <c r="B8" s="2"/>
      <c r="C8" s="2"/>
      <c r="D8" s="2"/>
      <c r="E8" s="2"/>
      <c r="F8" s="2"/>
      <c r="G8" s="2"/>
    </row>
    <row r="9" ht="15.75" customHeight="1">
      <c r="A9" s="2"/>
      <c r="B9" s="2"/>
      <c r="C9" s="2"/>
      <c r="D9" s="2"/>
      <c r="E9" s="2"/>
      <c r="F9" s="2"/>
      <c r="G9" s="2"/>
    </row>
    <row r="10" ht="15.75" customHeight="1">
      <c r="A10" s="2"/>
      <c r="B10" s="2"/>
      <c r="C10" s="2"/>
      <c r="D10" s="2"/>
      <c r="E10" s="2"/>
      <c r="F10" s="2"/>
      <c r="G10" s="2"/>
    </row>
    <row r="11" ht="15.75" customHeight="1">
      <c r="A11" s="2"/>
      <c r="B11" s="2"/>
      <c r="C11" s="2"/>
      <c r="D11" s="2"/>
      <c r="E11" s="2"/>
      <c r="F11" s="2"/>
      <c r="G11" s="2"/>
    </row>
    <row r="12" ht="15.75" customHeight="1">
      <c r="A12" s="2"/>
      <c r="B12" s="2"/>
      <c r="C12" s="2"/>
      <c r="D12" s="2"/>
      <c r="E12" s="2"/>
      <c r="F12" s="2"/>
      <c r="G12" s="2"/>
    </row>
    <row r="13" ht="15.75" customHeight="1">
      <c r="A13" s="2"/>
      <c r="B13" s="2"/>
      <c r="C13" s="2"/>
      <c r="D13" s="2"/>
      <c r="E13" s="2"/>
      <c r="F13" s="2"/>
      <c r="G13" s="2"/>
    </row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2"/>
      <c r="B15" s="2"/>
      <c r="C15" s="2"/>
      <c r="D15" s="2"/>
      <c r="E15" s="2"/>
      <c r="F15" s="2"/>
      <c r="G15" s="2"/>
    </row>
    <row r="16" ht="15.75" customHeight="1">
      <c r="A16" s="2"/>
      <c r="B16" s="2"/>
      <c r="C16" s="2"/>
      <c r="D16" s="2"/>
      <c r="E16" s="2"/>
      <c r="F16" s="2"/>
      <c r="G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38"/>
    <col customWidth="1" min="3" max="3" width="37.13"/>
    <col customWidth="1" min="4" max="4" width="36.63"/>
    <col customWidth="1" min="5" max="5" width="34.75"/>
    <col customWidth="1" min="6" max="6" width="26.25"/>
  </cols>
  <sheetData>
    <row r="1">
      <c r="A1" s="15" t="s">
        <v>210</v>
      </c>
      <c r="B1" s="15" t="s">
        <v>211</v>
      </c>
      <c r="C1" s="15" t="s">
        <v>212</v>
      </c>
      <c r="D1" s="15" t="s">
        <v>213</v>
      </c>
      <c r="E1" s="15" t="s">
        <v>214</v>
      </c>
      <c r="F1" s="15" t="s">
        <v>215</v>
      </c>
      <c r="G1" s="15" t="s">
        <v>216</v>
      </c>
      <c r="H1" s="7" t="s">
        <v>8</v>
      </c>
    </row>
    <row r="2">
      <c r="A2" s="3" t="s">
        <v>217</v>
      </c>
      <c r="B2" s="6" t="s">
        <v>218</v>
      </c>
      <c r="C2" s="3" t="s">
        <v>219</v>
      </c>
      <c r="D2" s="3" t="s">
        <v>220</v>
      </c>
      <c r="E2" s="6" t="s">
        <v>221</v>
      </c>
      <c r="G2" s="6" t="s">
        <v>222</v>
      </c>
      <c r="H2" s="6" t="s">
        <v>218</v>
      </c>
    </row>
    <row r="3">
      <c r="A3" s="3" t="s">
        <v>217</v>
      </c>
      <c r="B3" s="6" t="s">
        <v>218</v>
      </c>
      <c r="C3" s="3" t="s">
        <v>219</v>
      </c>
      <c r="D3" s="3" t="s">
        <v>223</v>
      </c>
      <c r="F3" s="6" t="s">
        <v>221</v>
      </c>
      <c r="G3" s="6" t="s">
        <v>222</v>
      </c>
      <c r="H3" s="6" t="s">
        <v>218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38"/>
    <col customWidth="1" min="3" max="3" width="41.13"/>
    <col customWidth="1" min="4" max="4" width="35.38"/>
    <col customWidth="1" min="5" max="5" width="23.88"/>
  </cols>
  <sheetData>
    <row r="1">
      <c r="A1" s="15" t="s">
        <v>224</v>
      </c>
      <c r="B1" s="15" t="s">
        <v>211</v>
      </c>
      <c r="C1" s="15" t="s">
        <v>39</v>
      </c>
      <c r="D1" s="15" t="s">
        <v>40</v>
      </c>
      <c r="E1" s="15" t="s">
        <v>42</v>
      </c>
      <c r="F1" s="15" t="s">
        <v>225</v>
      </c>
      <c r="G1" s="15"/>
      <c r="H1" s="7"/>
    </row>
    <row r="2">
      <c r="A2" s="3" t="s">
        <v>219</v>
      </c>
      <c r="B2" s="6" t="s">
        <v>226</v>
      </c>
      <c r="C2" s="6" t="s">
        <v>31</v>
      </c>
      <c r="D2" s="6" t="s">
        <v>227</v>
      </c>
      <c r="E2" s="6">
        <v>1.0</v>
      </c>
      <c r="F2" s="6" t="s">
        <v>228</v>
      </c>
    </row>
    <row r="3">
      <c r="A3" s="6" t="s">
        <v>229</v>
      </c>
      <c r="B3" s="6" t="s">
        <v>230</v>
      </c>
      <c r="C3" s="6" t="s">
        <v>34</v>
      </c>
      <c r="D3" s="6" t="s">
        <v>231</v>
      </c>
      <c r="E3" s="6">
        <v>1.0</v>
      </c>
      <c r="F3" s="6" t="s">
        <v>232</v>
      </c>
    </row>
    <row r="4">
      <c r="A4" s="6" t="s">
        <v>229</v>
      </c>
      <c r="B4" s="6" t="s">
        <v>230</v>
      </c>
      <c r="C4" s="6" t="s">
        <v>34</v>
      </c>
      <c r="D4" s="6" t="s">
        <v>233</v>
      </c>
      <c r="E4" s="6">
        <v>2.0</v>
      </c>
      <c r="F4" s="6" t="s">
        <v>232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5"/>
    <col customWidth="1" min="4" max="4" width="28.63"/>
    <col customWidth="1" min="5" max="5" width="27.88"/>
  </cols>
  <sheetData>
    <row r="1">
      <c r="A1" s="15" t="s">
        <v>234</v>
      </c>
      <c r="B1" s="15" t="s">
        <v>211</v>
      </c>
      <c r="C1" s="15" t="s">
        <v>39</v>
      </c>
      <c r="D1" s="15" t="s">
        <v>235</v>
      </c>
      <c r="E1" s="15" t="s">
        <v>40</v>
      </c>
      <c r="F1" s="15" t="s">
        <v>42</v>
      </c>
      <c r="G1" s="15"/>
      <c r="H1" s="7"/>
    </row>
    <row r="2">
      <c r="A2" s="3" t="s">
        <v>220</v>
      </c>
      <c r="B2" s="6" t="s">
        <v>236</v>
      </c>
      <c r="C2" s="6" t="s">
        <v>31</v>
      </c>
      <c r="D2" s="3" t="s">
        <v>219</v>
      </c>
      <c r="E2" s="6" t="s">
        <v>237</v>
      </c>
      <c r="F2" s="6">
        <v>1.0</v>
      </c>
    </row>
    <row r="3">
      <c r="A3" s="3" t="s">
        <v>220</v>
      </c>
      <c r="B3" s="6" t="s">
        <v>236</v>
      </c>
      <c r="C3" s="6" t="s">
        <v>31</v>
      </c>
      <c r="D3" s="3" t="s">
        <v>219</v>
      </c>
      <c r="E3" s="6" t="s">
        <v>238</v>
      </c>
      <c r="F3" s="6">
        <v>2.0</v>
      </c>
    </row>
    <row r="4">
      <c r="A4" s="3" t="s">
        <v>220</v>
      </c>
      <c r="B4" s="6" t="s">
        <v>236</v>
      </c>
      <c r="C4" s="6" t="s">
        <v>31</v>
      </c>
      <c r="D4" s="3" t="s">
        <v>219</v>
      </c>
      <c r="E4" s="6" t="s">
        <v>239</v>
      </c>
      <c r="F4" s="6">
        <v>3.0</v>
      </c>
    </row>
    <row r="5">
      <c r="A5" s="6" t="s">
        <v>223</v>
      </c>
      <c r="B5" s="6" t="s">
        <v>240</v>
      </c>
      <c r="C5" s="6" t="s">
        <v>31</v>
      </c>
      <c r="D5" s="3" t="s">
        <v>219</v>
      </c>
      <c r="E5" s="6" t="s">
        <v>237</v>
      </c>
      <c r="F5" s="6">
        <v>1.0</v>
      </c>
    </row>
    <row r="6">
      <c r="A6" s="6" t="s">
        <v>223</v>
      </c>
      <c r="B6" s="6" t="s">
        <v>240</v>
      </c>
      <c r="C6" s="6" t="s">
        <v>31</v>
      </c>
      <c r="D6" s="3" t="s">
        <v>219</v>
      </c>
      <c r="E6" s="6" t="s">
        <v>238</v>
      </c>
      <c r="F6" s="6">
        <v>2.0</v>
      </c>
    </row>
    <row r="7">
      <c r="A7" s="6" t="s">
        <v>223</v>
      </c>
      <c r="B7" s="6" t="s">
        <v>240</v>
      </c>
      <c r="C7" s="6" t="s">
        <v>31</v>
      </c>
      <c r="D7" s="3" t="s">
        <v>219</v>
      </c>
      <c r="E7" s="6" t="s">
        <v>239</v>
      </c>
      <c r="F7" s="6">
        <v>3.0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1.63"/>
    <col customWidth="1" min="3" max="3" width="15.25"/>
    <col customWidth="1" min="4" max="4" width="16.38"/>
    <col customWidth="1" min="5" max="5" width="19.88"/>
    <col customWidth="1" min="6" max="6" width="22.38"/>
    <col customWidth="1" min="7" max="7" width="18.88"/>
    <col customWidth="1" min="8" max="8" width="11.5"/>
    <col customWidth="1" min="9" max="26" width="11.0"/>
  </cols>
  <sheetData>
    <row r="1" ht="39.0" customHeight="1">
      <c r="A1" s="7" t="s">
        <v>241</v>
      </c>
      <c r="B1" s="7" t="s">
        <v>242</v>
      </c>
      <c r="C1" s="7" t="s">
        <v>243</v>
      </c>
      <c r="D1" s="7" t="s">
        <v>244</v>
      </c>
      <c r="E1" s="16" t="s">
        <v>245</v>
      </c>
      <c r="F1" s="16" t="s">
        <v>246</v>
      </c>
      <c r="G1" s="16" t="s">
        <v>247</v>
      </c>
      <c r="H1" s="7" t="s">
        <v>8</v>
      </c>
    </row>
    <row r="2" ht="15.75" customHeight="1">
      <c r="A2" s="2" t="s">
        <v>248</v>
      </c>
      <c r="B2" s="2" t="s">
        <v>249</v>
      </c>
      <c r="C2" s="2" t="s">
        <v>49</v>
      </c>
      <c r="D2" s="3" t="s">
        <v>250</v>
      </c>
      <c r="E2" s="3" t="s">
        <v>251</v>
      </c>
      <c r="F2" s="2" t="s">
        <v>252</v>
      </c>
      <c r="G2" s="2" t="s">
        <v>253</v>
      </c>
      <c r="H2" s="6" t="s">
        <v>52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